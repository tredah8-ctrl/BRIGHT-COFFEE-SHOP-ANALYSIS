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7.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9.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0.xml" ContentType="application/vnd.openxmlformats-officedocument.drawing+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engdmcoza331-my.sharepoint.com/personal/hitekanim_engdm_co_za/Documents/Bright Learn/Bright Coffee/"/>
    </mc:Choice>
  </mc:AlternateContent>
  <xr:revisionPtr revIDLastSave="6" documentId="14_{17B8D06C-8DA0-4FDD-A8F3-FCAD6AFCB17C}" xr6:coauthVersionLast="47" xr6:coauthVersionMax="47" xr10:uidLastSave="{42266C73-F324-47B0-8EC5-213946848F15}"/>
  <bookViews>
    <workbookView xWindow="28680" yWindow="-120" windowWidth="29040" windowHeight="15720" firstSheet="6" activeTab="13" xr2:uid="{ABC7E020-22FD-4294-B179-5D4C1CDBF0C1}"/>
  </bookViews>
  <sheets>
    <sheet name="Cover" sheetId="9" r:id="rId1"/>
    <sheet name="Category Pivots" sheetId="3" r:id="rId2"/>
    <sheet name="Price Hour Pivots" sheetId="7" r:id="rId3"/>
    <sheet name="Revenue Overview (2)" sheetId="19" r:id="rId4"/>
    <sheet name="Revenue Overview" sheetId="8" r:id="rId5"/>
    <sheet name="Bright Coffee Shop dataset" sheetId="2" r:id="rId6"/>
    <sheet name=" Dashboard" sheetId="10" r:id="rId7"/>
    <sheet name="Product Insights" sheetId="11" r:id="rId8"/>
    <sheet name="Time Insights" sheetId="12" r:id="rId9"/>
    <sheet name="Recommendations" sheetId="13" r:id="rId10"/>
    <sheet name="Analysis" sheetId="14" state="hidden" r:id="rId11"/>
    <sheet name="Products Dashboard" sheetId="15" r:id="rId12"/>
    <sheet name="Daypart Dashboard" sheetId="16" r:id="rId13"/>
    <sheet name="Sales Trends Dashboard" sheetId="17" r:id="rId14"/>
    <sheet name="Action Dashboard" sheetId="18" r:id="rId15"/>
  </sheets>
  <definedNames>
    <definedName name="ExternalData_1" localSheetId="5" hidden="1">'Bright Coffee Shop dataset'!$A$1:$T$1001</definedName>
    <definedName name="Slicer_product_category">#N/A</definedName>
    <definedName name="Slicer_product_type">#N/A</definedName>
    <definedName name="Slicer_store_id">#N/A</definedName>
    <definedName name="Slicer_store_location">#N/A</definedName>
    <definedName name="Slicer_transaction_id">#N/A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17" l="1"/>
  <c r="A6" i="17"/>
  <c r="B6" i="17"/>
  <c r="C6" i="17"/>
  <c r="D6" i="17"/>
  <c r="E6" i="17"/>
  <c r="A7" i="17"/>
  <c r="B7" i="17"/>
  <c r="C7" i="17"/>
  <c r="D7" i="17"/>
  <c r="E7" i="17"/>
  <c r="A8" i="17"/>
  <c r="B8" i="17"/>
  <c r="C8" i="17"/>
  <c r="D8" i="17"/>
  <c r="E8" i="17"/>
  <c r="A9" i="17"/>
  <c r="B9" i="17"/>
  <c r="C9" i="17"/>
  <c r="D9" i="17"/>
  <c r="E9" i="17"/>
  <c r="G5" i="16"/>
  <c r="A6" i="16"/>
  <c r="B6" i="16"/>
  <c r="C6" i="16"/>
  <c r="D6" i="16"/>
  <c r="E6" i="16"/>
  <c r="A7" i="16"/>
  <c r="B7" i="16"/>
  <c r="C7" i="16"/>
  <c r="D7" i="16"/>
  <c r="E7" i="16"/>
  <c r="A8" i="16"/>
  <c r="B8" i="16"/>
  <c r="C8" i="16"/>
  <c r="D8" i="16"/>
  <c r="E8" i="16"/>
  <c r="G11" i="15"/>
  <c r="G6" i="15"/>
  <c r="H6" i="15"/>
  <c r="I6" i="15"/>
  <c r="J6" i="15"/>
  <c r="K6" i="15"/>
  <c r="G7" i="15"/>
  <c r="H7" i="15"/>
  <c r="I7" i="15"/>
  <c r="J7" i="15"/>
  <c r="K7" i="15"/>
  <c r="G8" i="15"/>
  <c r="H8" i="15"/>
  <c r="I8" i="15"/>
  <c r="J8" i="15"/>
  <c r="K8" i="15"/>
  <c r="G9" i="15"/>
  <c r="H9" i="15"/>
  <c r="I9" i="15"/>
  <c r="J9" i="15"/>
  <c r="K9" i="15"/>
  <c r="A6" i="15"/>
  <c r="B6" i="15"/>
  <c r="C6" i="15"/>
  <c r="D6" i="15"/>
  <c r="E6" i="15"/>
  <c r="A7" i="15"/>
  <c r="B7" i="15"/>
  <c r="C7" i="15"/>
  <c r="D7" i="15"/>
  <c r="E7" i="15"/>
  <c r="A8" i="15"/>
  <c r="B8" i="15"/>
  <c r="C8" i="15"/>
  <c r="D8" i="15"/>
  <c r="E8" i="15"/>
  <c r="A9" i="15"/>
  <c r="B9" i="15"/>
  <c r="C9" i="15"/>
  <c r="D9" i="15"/>
  <c r="E9" i="15"/>
  <c r="A10" i="15"/>
  <c r="B10" i="15"/>
  <c r="C10" i="15"/>
  <c r="D10" i="15"/>
  <c r="E10" i="15"/>
  <c r="A11" i="15"/>
  <c r="B11" i="15"/>
  <c r="C11" i="15"/>
  <c r="D11" i="15"/>
  <c r="E11" i="15"/>
  <c r="A12" i="15"/>
  <c r="B12" i="15"/>
  <c r="C12" i="15"/>
  <c r="D12" i="15"/>
  <c r="E12" i="15"/>
  <c r="A13" i="15"/>
  <c r="B13" i="15"/>
  <c r="C13" i="15"/>
  <c r="D13" i="15"/>
  <c r="E13" i="15"/>
  <c r="A14" i="15"/>
  <c r="B14" i="15"/>
  <c r="C14" i="15"/>
  <c r="D14" i="15"/>
  <c r="E14" i="15"/>
  <c r="A15" i="15"/>
  <c r="B15" i="15"/>
  <c r="C15" i="15"/>
  <c r="D15" i="15"/>
  <c r="E15" i="15"/>
  <c r="AU5" i="14"/>
  <c r="AT5" i="14"/>
  <c r="AS5" i="14"/>
  <c r="AR5" i="14"/>
  <c r="AU4" i="14"/>
  <c r="AT4" i="14"/>
  <c r="AS4" i="14"/>
  <c r="AR4" i="14"/>
  <c r="AU3" i="14"/>
  <c r="AT3" i="14"/>
  <c r="AS3" i="14"/>
  <c r="AR3" i="14"/>
  <c r="AU2" i="14"/>
  <c r="AT2" i="14"/>
  <c r="AS2" i="14"/>
  <c r="AR2" i="14"/>
  <c r="G6" i="12"/>
  <c r="H6" i="12"/>
  <c r="I6" i="12"/>
  <c r="J6" i="12"/>
  <c r="K6" i="12"/>
  <c r="G7" i="12"/>
  <c r="H7" i="12"/>
  <c r="I7" i="12"/>
  <c r="J7" i="12"/>
  <c r="K7" i="12"/>
  <c r="G8" i="12"/>
  <c r="H8" i="12"/>
  <c r="I8" i="12"/>
  <c r="J8" i="12"/>
  <c r="K8" i="12"/>
  <c r="A6" i="12"/>
  <c r="B6" i="12"/>
  <c r="C6" i="12"/>
  <c r="D6" i="12"/>
  <c r="E6" i="12"/>
  <c r="A7" i="12"/>
  <c r="B7" i="12"/>
  <c r="C7" i="12"/>
  <c r="D7" i="12"/>
  <c r="E7" i="12"/>
  <c r="A8" i="12"/>
  <c r="B8" i="12"/>
  <c r="C8" i="12"/>
  <c r="D8" i="12"/>
  <c r="E8" i="12"/>
  <c r="G6" i="11"/>
  <c r="H6" i="11"/>
  <c r="I6" i="11"/>
  <c r="J6" i="11"/>
  <c r="K6" i="11"/>
  <c r="G7" i="11"/>
  <c r="H7" i="11"/>
  <c r="I7" i="11"/>
  <c r="J7" i="11"/>
  <c r="K7" i="11"/>
  <c r="G8" i="11"/>
  <c r="H8" i="11"/>
  <c r="I8" i="11"/>
  <c r="J8" i="11"/>
  <c r="K8" i="11"/>
  <c r="G9" i="11"/>
  <c r="H9" i="11"/>
  <c r="I9" i="11"/>
  <c r="J9" i="11"/>
  <c r="K9" i="11"/>
  <c r="G10" i="11"/>
  <c r="H10" i="11"/>
  <c r="I10" i="11"/>
  <c r="J10" i="11"/>
  <c r="K10" i="11"/>
  <c r="G11" i="11"/>
  <c r="H11" i="11"/>
  <c r="I11" i="11"/>
  <c r="J11" i="11"/>
  <c r="K11" i="11"/>
  <c r="G12" i="11"/>
  <c r="H12" i="11"/>
  <c r="I12" i="11"/>
  <c r="J12" i="11"/>
  <c r="K12" i="11"/>
  <c r="G13" i="11"/>
  <c r="H13" i="11"/>
  <c r="I13" i="11"/>
  <c r="J13" i="11"/>
  <c r="K13" i="11"/>
  <c r="G14" i="11"/>
  <c r="H14" i="11"/>
  <c r="I14" i="11"/>
  <c r="J14" i="11"/>
  <c r="K14" i="11"/>
  <c r="G15" i="11"/>
  <c r="H15" i="11"/>
  <c r="I15" i="11"/>
  <c r="J15" i="11"/>
  <c r="K15" i="11"/>
  <c r="A6" i="11"/>
  <c r="B6" i="11"/>
  <c r="C6" i="11"/>
  <c r="D6" i="11"/>
  <c r="E6" i="11"/>
  <c r="A7" i="11"/>
  <c r="B7" i="11"/>
  <c r="C7" i="11"/>
  <c r="D7" i="11"/>
  <c r="E7" i="11"/>
  <c r="A8" i="11"/>
  <c r="B8" i="11"/>
  <c r="C8" i="11"/>
  <c r="D8" i="11"/>
  <c r="E8" i="11"/>
  <c r="A9" i="11"/>
  <c r="B9" i="11"/>
  <c r="C9" i="11"/>
  <c r="D9" i="11"/>
  <c r="E9" i="11"/>
  <c r="AO3" i="14"/>
  <c r="AN3" i="14"/>
  <c r="AM3" i="14"/>
  <c r="AL3" i="14"/>
  <c r="AO2" i="14"/>
  <c r="AN2" i="14"/>
  <c r="AM2" i="14"/>
  <c r="AL2" i="14"/>
  <c r="AI3" i="14"/>
  <c r="AH3" i="14"/>
  <c r="AG3" i="14"/>
  <c r="AF3" i="14"/>
  <c r="AI2" i="14"/>
  <c r="AH2" i="14"/>
  <c r="AG2" i="14"/>
  <c r="AF2" i="14"/>
  <c r="AC4" i="14"/>
  <c r="AB4" i="14"/>
  <c r="AA4" i="14"/>
  <c r="Z4" i="14"/>
  <c r="AC3" i="14"/>
  <c r="AB3" i="14"/>
  <c r="AA3" i="14"/>
  <c r="Z3" i="14"/>
  <c r="AC2" i="14"/>
  <c r="AB2" i="14"/>
  <c r="AA2" i="14"/>
  <c r="Z2" i="14"/>
  <c r="W14" i="14"/>
  <c r="V14" i="14"/>
  <c r="U14" i="14"/>
  <c r="T14" i="14"/>
  <c r="W13" i="14"/>
  <c r="V13" i="14"/>
  <c r="U13" i="14"/>
  <c r="T13" i="14"/>
  <c r="W12" i="14"/>
  <c r="V12" i="14"/>
  <c r="U12" i="14"/>
  <c r="T12" i="14"/>
  <c r="W11" i="14"/>
  <c r="V11" i="14"/>
  <c r="U11" i="14"/>
  <c r="T11" i="14"/>
  <c r="W10" i="14"/>
  <c r="V10" i="14"/>
  <c r="U10" i="14"/>
  <c r="T10" i="14"/>
  <c r="W9" i="14"/>
  <c r="V9" i="14"/>
  <c r="U9" i="14"/>
  <c r="T9" i="14"/>
  <c r="W8" i="14"/>
  <c r="V8" i="14"/>
  <c r="U8" i="14"/>
  <c r="T8" i="14"/>
  <c r="W7" i="14"/>
  <c r="V7" i="14"/>
  <c r="U7" i="14"/>
  <c r="T7" i="14"/>
  <c r="W6" i="14"/>
  <c r="V6" i="14"/>
  <c r="U6" i="14"/>
  <c r="T6" i="14"/>
  <c r="W5" i="14"/>
  <c r="V5" i="14"/>
  <c r="U5" i="14"/>
  <c r="T5" i="14"/>
  <c r="W4" i="14"/>
  <c r="V4" i="14"/>
  <c r="U4" i="14"/>
  <c r="T4" i="14"/>
  <c r="W3" i="14"/>
  <c r="V3" i="14"/>
  <c r="U3" i="14"/>
  <c r="T3" i="14"/>
  <c r="W2" i="14"/>
  <c r="V2" i="14"/>
  <c r="U2" i="14"/>
  <c r="T2" i="14"/>
  <c r="Q4" i="14"/>
  <c r="P4" i="14"/>
  <c r="O4" i="14"/>
  <c r="N4" i="14"/>
  <c r="Q3" i="14"/>
  <c r="P3" i="14"/>
  <c r="O3" i="14"/>
  <c r="N3" i="14"/>
  <c r="Q2" i="14"/>
  <c r="P2" i="14"/>
  <c r="O2" i="14"/>
  <c r="N2" i="14"/>
  <c r="K14" i="14"/>
  <c r="J14" i="14"/>
  <c r="I14" i="14"/>
  <c r="H14" i="14"/>
  <c r="K13" i="14"/>
  <c r="J13" i="14"/>
  <c r="I13" i="14"/>
  <c r="H13" i="14"/>
  <c r="K12" i="14"/>
  <c r="J12" i="14"/>
  <c r="I12" i="14"/>
  <c r="H12" i="14"/>
  <c r="K11" i="14"/>
  <c r="J11" i="14"/>
  <c r="I11" i="14"/>
  <c r="H11" i="14"/>
  <c r="K10" i="14"/>
  <c r="J10" i="14"/>
  <c r="I10" i="14"/>
  <c r="H10" i="14"/>
  <c r="K9" i="14"/>
  <c r="J9" i="14"/>
  <c r="I9" i="14"/>
  <c r="H9" i="14"/>
  <c r="K8" i="14"/>
  <c r="J8" i="14"/>
  <c r="I8" i="14"/>
  <c r="H8" i="14"/>
  <c r="K7" i="14"/>
  <c r="J7" i="14"/>
  <c r="I7" i="14"/>
  <c r="H7" i="14"/>
  <c r="K6" i="14"/>
  <c r="J6" i="14"/>
  <c r="I6" i="14"/>
  <c r="H6" i="14"/>
  <c r="K5" i="14"/>
  <c r="J5" i="14"/>
  <c r="I5" i="14"/>
  <c r="H5" i="14"/>
  <c r="K4" i="14"/>
  <c r="J4" i="14"/>
  <c r="I4" i="14"/>
  <c r="H4" i="14"/>
  <c r="K3" i="14"/>
  <c r="J3" i="14"/>
  <c r="I3" i="14"/>
  <c r="H3" i="14"/>
  <c r="K2" i="14"/>
  <c r="J2" i="14"/>
  <c r="I2" i="14"/>
  <c r="H2" i="14"/>
  <c r="E5" i="14"/>
  <c r="D5" i="14"/>
  <c r="C5" i="14"/>
  <c r="B5" i="14"/>
  <c r="E4" i="14"/>
  <c r="D4" i="14"/>
  <c r="C4" i="14"/>
  <c r="B4" i="14"/>
  <c r="E3" i="14"/>
  <c r="D3" i="14"/>
  <c r="C3" i="14"/>
  <c r="B3" i="14"/>
  <c r="E2" i="14"/>
  <c r="D2" i="14"/>
  <c r="C2" i="14"/>
  <c r="B2"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7133C5-2D31-4510-84FB-130665A3A495}" keepAlive="1" name="Query - Bright Coffee Shop dataset" description="Connection to the 'Bright Coffee Shop dataset' query in the workbook." type="5" refreshedVersion="8" background="1" saveData="1">
    <dbPr connection="Provider=Microsoft.Mashup.OleDb.1;Data Source=$Workbook$;Location=&quot;Bright Coffee Shop dataset&quot;;Extended Properties=&quot;&quot;" command="SELECT * FROM [Bright Coffee Shop dataset]"/>
  </connection>
</connections>
</file>

<file path=xl/sharedStrings.xml><?xml version="1.0" encoding="utf-8"?>
<sst xmlns="http://schemas.openxmlformats.org/spreadsheetml/2006/main" count="8459" uniqueCount="317">
  <si>
    <t>transaction_id</t>
  </si>
  <si>
    <t>transaction_date</t>
  </si>
  <si>
    <t>year</t>
  </si>
  <si>
    <t>month</t>
  </si>
  <si>
    <t>month_name</t>
  </si>
  <si>
    <t>day</t>
  </si>
  <si>
    <t>day_name</t>
  </si>
  <si>
    <t>transaction_time</t>
  </si>
  <si>
    <t>hour</t>
  </si>
  <si>
    <t>time_of_day</t>
  </si>
  <si>
    <t>transaction_qty</t>
  </si>
  <si>
    <t>store_id</t>
  </si>
  <si>
    <t>store_location</t>
  </si>
  <si>
    <t>product_id</t>
  </si>
  <si>
    <t>product_category</t>
  </si>
  <si>
    <t>product_type</t>
  </si>
  <si>
    <t>product_detail</t>
  </si>
  <si>
    <t>unit_price</t>
  </si>
  <si>
    <t>revenue</t>
  </si>
  <si>
    <t>Day_classification</t>
  </si>
  <si>
    <t>Jan</t>
  </si>
  <si>
    <t>Sun</t>
  </si>
  <si>
    <t>Morning</t>
  </si>
  <si>
    <t>Lower Manhattan</t>
  </si>
  <si>
    <t>Coffee</t>
  </si>
  <si>
    <t>Gourmet brewed coffee</t>
  </si>
  <si>
    <t>Ethiopia Rg</t>
  </si>
  <si>
    <t>3</t>
  </si>
  <si>
    <t>6</t>
  </si>
  <si>
    <t>Weekend</t>
  </si>
  <si>
    <t>Tea</t>
  </si>
  <si>
    <t>Brewed Chai tea</t>
  </si>
  <si>
    <t>Spicy Eye Opener Chai Lg</t>
  </si>
  <si>
    <t>3.1</t>
  </si>
  <si>
    <t>6.2</t>
  </si>
  <si>
    <t>Drinking Chocolate</t>
  </si>
  <si>
    <t>Hot chocolate</t>
  </si>
  <si>
    <t>Dark chocolate Lg</t>
  </si>
  <si>
    <t>4.5</t>
  </si>
  <si>
    <t>9</t>
  </si>
  <si>
    <t>Drip coffee</t>
  </si>
  <si>
    <t>Our Old Time Diner Blend Sm</t>
  </si>
  <si>
    <t>2</t>
  </si>
  <si>
    <t>Bakery</t>
  </si>
  <si>
    <t>Scone</t>
  </si>
  <si>
    <t>Oatmeal Scone</t>
  </si>
  <si>
    <t>Columbian Medium Roast Sm</t>
  </si>
  <si>
    <t>4</t>
  </si>
  <si>
    <t>Barista Espresso</t>
  </si>
  <si>
    <t>Latte Rg</t>
  </si>
  <si>
    <t>4.25</t>
  </si>
  <si>
    <t>Dark chocolate Rg</t>
  </si>
  <si>
    <t>3.5</t>
  </si>
  <si>
    <t>7</t>
  </si>
  <si>
    <t>Spicy Eye Opener Chai Rg</t>
  </si>
  <si>
    <t>2.55</t>
  </si>
  <si>
    <t>Ethiopia Lg</t>
  </si>
  <si>
    <t>Brewed Black tea</t>
  </si>
  <si>
    <t>Earl Grey Lg</t>
  </si>
  <si>
    <t>Ouro Brasileiro shot</t>
  </si>
  <si>
    <t>Brewed Green tea</t>
  </si>
  <si>
    <t>Serenity Green Tea Lg</t>
  </si>
  <si>
    <t>Jumbo Savory Scone</t>
  </si>
  <si>
    <t>3.75</t>
  </si>
  <si>
    <t>Hell's Kitchen</t>
  </si>
  <si>
    <t>Brewed herbal tea</t>
  </si>
  <si>
    <t>Lemon Grass Rg</t>
  </si>
  <si>
    <t>2.5</t>
  </si>
  <si>
    <t>Sustainably Grown Organic Lg</t>
  </si>
  <si>
    <t>4.75</t>
  </si>
  <si>
    <t>5.1</t>
  </si>
  <si>
    <t>Biscotti</t>
  </si>
  <si>
    <t>Hazelnut Biscotti</t>
  </si>
  <si>
    <t>3.25</t>
  </si>
  <si>
    <t>Cappuccino</t>
  </si>
  <si>
    <t>Lemon Grass Lg</t>
  </si>
  <si>
    <t>Chocolate Chip Biscotti</t>
  </si>
  <si>
    <t>Peppermint Lg</t>
  </si>
  <si>
    <t>Pastry</t>
  </si>
  <si>
    <t>Chocolate Croissant</t>
  </si>
  <si>
    <t>7.5</t>
  </si>
  <si>
    <t>Latte</t>
  </si>
  <si>
    <t>Organic brewed coffee</t>
  </si>
  <si>
    <t>Brazilian Rg</t>
  </si>
  <si>
    <t>Brazilian Lg</t>
  </si>
  <si>
    <t>Columbian Medium Roast Rg</t>
  </si>
  <si>
    <t>5</t>
  </si>
  <si>
    <t>Morning Sunrise Chai Rg</t>
  </si>
  <si>
    <t>Morning Sunrise Chai Lg</t>
  </si>
  <si>
    <t>Our Old Time Diner Blend Lg</t>
  </si>
  <si>
    <t>Sustainably Grown Organic Rg</t>
  </si>
  <si>
    <t xml:space="preserve">Scottish Cream Scone </t>
  </si>
  <si>
    <t>Peppermint Rg</t>
  </si>
  <si>
    <t>English Breakfast Rg</t>
  </si>
  <si>
    <t>Our Old Time Diner Blend Rg</t>
  </si>
  <si>
    <t>Serenity Green Tea Rg</t>
  </si>
  <si>
    <t>Brazilian Sm</t>
  </si>
  <si>
    <t>2.2</t>
  </si>
  <si>
    <t>4.4</t>
  </si>
  <si>
    <t>Premium brewed coffee</t>
  </si>
  <si>
    <t>Jamaican Coffee River Sm</t>
  </si>
  <si>
    <t>2.45</t>
  </si>
  <si>
    <t>Jamaican Coffee River Lg</t>
  </si>
  <si>
    <t>Ginger Biscotti</t>
  </si>
  <si>
    <t>Traditional Blend Chai Lg</t>
  </si>
  <si>
    <t>Cappuccino Lg</t>
  </si>
  <si>
    <t>8.5</t>
  </si>
  <si>
    <t>Espresso shot</t>
  </si>
  <si>
    <t>Earl Grey Rg</t>
  </si>
  <si>
    <t>Ginger Scone</t>
  </si>
  <si>
    <t>Jamaican Coffee River Rg</t>
  </si>
  <si>
    <t>Cranberry Scone</t>
  </si>
  <si>
    <t>9.5</t>
  </si>
  <si>
    <t>Almond Croissant</t>
  </si>
  <si>
    <t>Astoria</t>
  </si>
  <si>
    <t>Croissant</t>
  </si>
  <si>
    <t>Ethiopia Sm</t>
  </si>
  <si>
    <t>English Breakfast Lg</t>
  </si>
  <si>
    <t>Traditional Blend Chai Rg</t>
  </si>
  <si>
    <t>Columbian Medium Roast Lg</t>
  </si>
  <si>
    <t>Afternoon</t>
  </si>
  <si>
    <t>8</t>
  </si>
  <si>
    <t>4.9</t>
  </si>
  <si>
    <t>Evening</t>
  </si>
  <si>
    <t>Mon</t>
  </si>
  <si>
    <t>Weekday</t>
  </si>
  <si>
    <t>Row Labels</t>
  </si>
  <si>
    <t>Grand Total</t>
  </si>
  <si>
    <t>Count of revenue</t>
  </si>
  <si>
    <t>Count of product_id</t>
  </si>
  <si>
    <t>Sum of hour</t>
  </si>
  <si>
    <t>Revenue Performance Overview</t>
  </si>
  <si>
    <t>Count of transaction_qty</t>
  </si>
  <si>
    <t>Product Category</t>
  </si>
  <si>
    <t>Revenue</t>
  </si>
  <si>
    <t>Transactions</t>
  </si>
  <si>
    <t>Units</t>
  </si>
  <si>
    <t>Avg Ticket</t>
  </si>
  <si>
    <t>Product Type</t>
  </si>
  <si>
    <t>Time of Day</t>
  </si>
  <si>
    <t>Hour</t>
  </si>
  <si>
    <t>Store Location</t>
  </si>
  <si>
    <t>Day</t>
  </si>
  <si>
    <t>Day Class</t>
  </si>
  <si>
    <t>Bright Coffee Shop Sales — CEO Presentation</t>
  </si>
  <si>
    <t>Actionable insights from 1 000 transactions covering product revenue, daypart performance, trends, and CEO recommendations.</t>
  </si>
  <si>
    <t>CONTENTS</t>
  </si>
  <si>
    <t>WHAT TO USE IT FOR</t>
  </si>
  <si>
    <t>CEO Dashboard</t>
  </si>
  <si>
    <t>Headline KPIs, product/category performance, daypart trends, and store comparison.</t>
  </si>
  <si>
    <t>Product Insights</t>
  </si>
  <si>
    <t>Detailed product-category and product-type revenue tables with ranked charts.</t>
  </si>
  <si>
    <t>Time Insights</t>
  </si>
  <si>
    <t>Hour, time-of-day, daily, and weekday/weekend performance analysis.</t>
  </si>
  <si>
    <t>Recommendations</t>
  </si>
  <si>
    <t>Bright Coffee Shop dataset</t>
  </si>
  <si>
    <t>Source transaction table used by all formulas and charts.</t>
  </si>
  <si>
    <t>Which products generate the most revenue and where performance can be improved.</t>
  </si>
  <si>
    <t>CATEGORY PERFORMANCE</t>
  </si>
  <si>
    <t>TOP PRODUCT TYPES BY REVENUE</t>
  </si>
  <si>
    <t>PRODUCT TAKEAWAYS</t>
  </si>
  <si>
    <t>The revenue mix is concentrated in Coffee, led by Barista Espresso. Use the top product types as anchor items for bundles, and test offers that attach Bakery or lower-volume drinks to peak coffee/tea orders.</t>
  </si>
  <si>
    <t>Store performance by time of day, hour, date, and weekday/weekend classification.</t>
  </si>
  <si>
    <t>TIME OF DAY PERFORMANCE</t>
  </si>
  <si>
    <t>STORE PERFORMANCE</t>
  </si>
  <si>
    <t>TIME TAKEAWAYS</t>
  </si>
  <si>
    <t>Afternoon is the strongest daypart, with hour 13:00 standing out as the highest-revenue hour. Use this period for staffing and premium add-on selling, while testing slower-hour offers that pull demand earlier or later in the day.</t>
  </si>
  <si>
    <t>Prioritized actions to grow revenue and improve product performance.</t>
  </si>
  <si>
    <t>CEO ACTION PLAN</t>
  </si>
  <si>
    <t>Priority</t>
  </si>
  <si>
    <t>Recommendation</t>
  </si>
  <si>
    <t>Evidence from Data</t>
  </si>
  <si>
    <t>Expected Impact</t>
  </si>
  <si>
    <t>Owner Focus</t>
  </si>
  <si>
    <t>Protect and promote Barista Espresso</t>
  </si>
  <si>
    <t>Barista Espresso is the highest-revenue product type in the sample.</t>
  </si>
  <si>
    <t>Increase revenue from proven demand.</t>
  </si>
  <si>
    <t>Marketing + Store Ops</t>
  </si>
  <si>
    <t>Build bundles around Coffee</t>
  </si>
  <si>
    <t>Coffee is the top category by revenue, creating an anchor for add-on offers.</t>
  </si>
  <si>
    <t>Lift average ticket and cross-sell attach rate.</t>
  </si>
  <si>
    <t>Product + Merchandising</t>
  </si>
  <si>
    <t>Optimize staffing for Afternoon</t>
  </si>
  <si>
    <t>Afternoon is the strongest time of day and hour 13:00 is the peak hour.</t>
  </si>
  <si>
    <t>Improve service speed and capture peak demand.</t>
  </si>
  <si>
    <t>Store Ops</t>
  </si>
  <si>
    <t>Revive slower dayparts with targeted offers</t>
  </si>
  <si>
    <t>Revenue is uneven across time intervals in the hourly/daypart view.</t>
  </si>
  <si>
    <t>Fill demand gaps without discounting peak periods.</t>
  </si>
  <si>
    <t>Marketing</t>
  </si>
  <si>
    <t>Replicate practices from Hell's Kitchen</t>
  </si>
  <si>
    <t>Hell's Kitchen leads store revenue among locations in the dataset.</t>
  </si>
  <si>
    <t>Spread successful local execution across stores.</t>
  </si>
  <si>
    <t>Regional Ops</t>
  </si>
  <si>
    <t>HOW TO USE THIS WORKBOOK</t>
  </si>
  <si>
    <t>Update or append rows in the Bright Coffee Shop dataset table; all KPI cards, formulas, and chart source tables recalculate from structured table references. Review CEO Dashboard first for the executive view, then use Product Insights and Time Insights for supporting detail.</t>
  </si>
  <si>
    <t>Sales Performance by Time</t>
  </si>
  <si>
    <t>Sales trends across products and time intervals</t>
  </si>
  <si>
    <t>Total</t>
  </si>
  <si>
    <t>Products Dashboard</t>
  </si>
  <si>
    <t>Objective: identify which products generate the most revenue.</t>
  </si>
  <si>
    <t>TOP PRODUCT TYPES</t>
  </si>
  <si>
    <t>CATEGORY SUMMARY</t>
  </si>
  <si>
    <t>Category</t>
  </si>
  <si>
    <t>Daypart Dashboard</t>
  </si>
  <si>
    <t>Objective: determine what time of day the store performs best.</t>
  </si>
  <si>
    <t>BEST INTERVAL</t>
  </si>
  <si>
    <t>Sales Trends Dashboard</t>
  </si>
  <si>
    <t>Objective: show sales trends across products and time intervals.</t>
  </si>
  <si>
    <t>PRODUCT CATEGORY × TIME OF DAY REVENUE</t>
  </si>
  <si>
    <t>Action Dashboard</t>
  </si>
  <si>
    <t>Objective: recommendations for improving sales performance.</t>
  </si>
  <si>
    <t>PRIORITIZED ACTION PLAN</t>
  </si>
  <si>
    <t>Data Evidence</t>
  </si>
  <si>
    <t>Commercial Impact</t>
  </si>
  <si>
    <t>Owner</t>
  </si>
  <si>
    <t>Promote top product type</t>
  </si>
  <si>
    <t>Barista Espresso is the highest-revenue product type.</t>
  </si>
  <si>
    <t>Protect and grow proven demand.</t>
  </si>
  <si>
    <t>Bundle around Coffee</t>
  </si>
  <si>
    <t>Coffee contributes the largest category revenue.</t>
  </si>
  <si>
    <t>Increase average ticket through add-ons.</t>
  </si>
  <si>
    <t>Staff for Afternoon peak</t>
  </si>
  <si>
    <t>Afternoon is the highest-revenue daypart.</t>
  </si>
  <si>
    <t>Improve speed and capture peak demand.</t>
  </si>
  <si>
    <t>Lift Evening demand</t>
  </si>
  <si>
    <t>Evening trails Morning and Afternoon revenue.</t>
  </si>
  <si>
    <t>Fill capacity with targeted offers.</t>
  </si>
  <si>
    <t>Replicate top-store execution</t>
  </si>
  <si>
    <t>Hell's Kitchen leads store revenue.</t>
  </si>
  <si>
    <t>Spread successful practices to other stores.</t>
  </si>
  <si>
    <t>CEO MESSAGE</t>
  </si>
  <si>
    <t>Focus growth on the proven revenue core: Coffee and Barista Espresso. Protect service quality in the Afternoon peak, then use bundles and time-limited offers to pull incremental demand into weaker periods. Track the KPIs on the dashboard after each campaign to confirm revenue, transactions, units, and average ticket improve together.</t>
  </si>
  <si>
    <t>Objective dashboard for highest-revenue products and categories.</t>
  </si>
  <si>
    <t>Objective dashboard for best-performing time of day and hourly performance.</t>
  </si>
  <si>
    <t>Objective dashboard for product revenue across time intervals.</t>
  </si>
  <si>
    <t>DETAILED SALES PERFORMANCE IMPROVEMENT PLAN</t>
  </si>
  <si>
    <t>Focus Area</t>
  </si>
  <si>
    <t>Data Signal</t>
  </si>
  <si>
    <t>How to Execute</t>
  </si>
  <si>
    <t>KPI to Track</t>
  </si>
  <si>
    <t>Product mix</t>
  </si>
  <si>
    <t>Lead campaigns with Barista Espresso and Coffee</t>
  </si>
  <si>
    <t>Barista Espresso is the top product type; Coffee is the top category.</t>
  </si>
  <si>
    <t>Feature Barista Espresso in menu boards, staff scripts, and digital promos; pair Coffee with Bakery add-ons.</t>
  </si>
  <si>
    <t>Revenue by product type; attach rate</t>
  </si>
  <si>
    <t>High</t>
  </si>
  <si>
    <t>Bundling</t>
  </si>
  <si>
    <t>Create Coffee + Bakery bundles</t>
  </si>
  <si>
    <t>Bakery revenue is much smaller than Coffee, creating cross-sell upside.</t>
  </si>
  <si>
    <t>Offer small pastry add-ons during Coffee purchases and test bundle pricing during peak traffic.</t>
  </si>
  <si>
    <t>Average ticket; Bakery units</t>
  </si>
  <si>
    <t>Daypart execution</t>
  </si>
  <si>
    <t>Staff and stock for Afternoon peak</t>
  </si>
  <si>
    <t>Afternoon generates the highest revenue.</t>
  </si>
  <si>
    <t>Schedule stronger coverage before peak; pre-stock fast-moving products; reduce queue friction.</t>
  </si>
  <si>
    <t>Afternoon revenue; transactions/hour</t>
  </si>
  <si>
    <t>Slow-period growth</t>
  </si>
  <si>
    <t>Evening is the lowest daypart by revenue.</t>
  </si>
  <si>
    <t>Run limited evening offers, loyalty rewards, or “second drink” promotions after peak hours.</t>
  </si>
  <si>
    <t>Evening revenue; evening transaction count</t>
  </si>
  <si>
    <t>Medium</t>
  </si>
  <si>
    <t>Store operations</t>
  </si>
  <si>
    <t>Replicate Hell's Kitchen performance</t>
  </si>
  <si>
    <t>Review staffing, merchandising, and service practices at Hell's Kitchen and copy what works to other stores.</t>
  </si>
  <si>
    <t>Revenue by store; avg ticket by store</t>
  </si>
  <si>
    <t>Pricing and margin</t>
  </si>
  <si>
    <t>Protect high average-ticket products</t>
  </si>
  <si>
    <t>Drinking Chocolate has a high average ticket despite lower volume.</t>
  </si>
  <si>
    <t>Promote selectively rather than discount heavily; use as a premium upsell.</t>
  </si>
  <si>
    <t>Avg ticket; units sold</t>
  </si>
  <si>
    <t>Product assortment</t>
  </si>
  <si>
    <t>Review low-revenue product types</t>
  </si>
  <si>
    <t>Lowest ranked items contribute less revenue than core beverages.</t>
  </si>
  <si>
    <t>Keep only profitable SKUs, rotate low sellers, and test seasonal alternatives.</t>
  </si>
  <si>
    <t>Revenue per SKU; inventory waste</t>
  </si>
  <si>
    <t>Campaign measurement</t>
  </si>
  <si>
    <t>Track before/after campaign lifts</t>
  </si>
  <si>
    <t>All dashboards are formula-driven from the source table.</t>
  </si>
  <si>
    <t>Compare revenue, units, and ticket size before and after each promotion window.</t>
  </si>
  <si>
    <t>Revenue lift; unit lift; avg ticket lift</t>
  </si>
  <si>
    <t>EXECUTIVE SUMMARY</t>
  </si>
  <si>
    <t>The strongest near-term path is to protect the revenue core: Coffee and Barista Espresso. Pair that with operational focus on the Afternoon peak, where demand is already strongest, then use targeted bundles and promotions to lift Bakery attachment and Evening demand. Store-level playbooks from Hell's Kitchen should be reviewed and copied across other locations to improve consistency.</t>
  </si>
  <si>
    <t>EXPANDED RECOMMENDATIONS</t>
  </si>
  <si>
    <t>Rank</t>
  </si>
  <si>
    <t>Action</t>
  </si>
  <si>
    <t>Why It Matters</t>
  </si>
  <si>
    <t>Execution Step</t>
  </si>
  <si>
    <t>Success Metric</t>
  </si>
  <si>
    <t>Promote Barista Espresso + Coffee</t>
  </si>
  <si>
    <t>Top revenue product type and category.</t>
  </si>
  <si>
    <t>Make them campaign anchors and suggest as default upsell items.</t>
  </si>
  <si>
    <t>Product revenue</t>
  </si>
  <si>
    <t>Bundle Coffee with Bakery</t>
  </si>
  <si>
    <t>Bakery has lower revenue but fits Coffee purchases.</t>
  </si>
  <si>
    <t>Test Coffee + pastry bundles during high traffic.</t>
  </si>
  <si>
    <t>Avg ticket / Bakery units</t>
  </si>
  <si>
    <t>Optimize Afternoon operations</t>
  </si>
  <si>
    <t>Afternoon is the strongest daypart.</t>
  </si>
  <si>
    <t>Schedule more staff and pre-stock core products.</t>
  </si>
  <si>
    <t>Afternoon transactions/hour</t>
  </si>
  <si>
    <t>Grow Evening sales</t>
  </si>
  <si>
    <t>Evening is the weakest interval.</t>
  </si>
  <si>
    <t>Use targeted evening offers and loyalty incentives.</t>
  </si>
  <si>
    <t>Evening revenue</t>
  </si>
  <si>
    <t>Replicate Hell's Kitchen practices</t>
  </si>
  <si>
    <t>Top store performance indicates useful operating lessons.</t>
  </si>
  <si>
    <t>Copy merchandising and staffing practices to other stores.</t>
  </si>
  <si>
    <t>Revenue by store</t>
  </si>
  <si>
    <t>Measure every campaign</t>
  </si>
  <si>
    <t>Dashboards recalculate from source data.</t>
  </si>
  <si>
    <t>Compare before/after revenue, units, and average ticket.</t>
  </si>
  <si>
    <t>Campaign lift</t>
  </si>
  <si>
    <t>Prioritized and expanded recommendations for improving sales performance.</t>
  </si>
  <si>
    <t>CEO action plan plus expanded sales performance recommendations.</t>
  </si>
  <si>
    <t>-</t>
  </si>
  <si>
    <t>Recommendations and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</si>
</sst>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quot;#,##0.00"/>
    <numFmt numFmtId="166" formatCode="\R#,##0.00"/>
  </numFmts>
  <fonts count="17" x14ac:knownFonts="1">
    <font>
      <sz val="11"/>
      <color theme="1"/>
      <name val="Aptos Narrow"/>
      <family val="2"/>
      <scheme val="minor"/>
    </font>
    <font>
      <b/>
      <sz val="11"/>
      <color theme="1"/>
      <name val="Aptos Narrow"/>
      <family val="2"/>
      <scheme val="minor"/>
    </font>
    <font>
      <b/>
      <sz val="14"/>
      <color theme="1"/>
      <name val="Aptos Narrow"/>
      <family val="2"/>
      <scheme val="minor"/>
    </font>
    <font>
      <b/>
      <sz val="16"/>
      <color theme="1"/>
      <name val="Arial"/>
      <family val="2"/>
    </font>
    <font>
      <sz val="11"/>
      <color theme="1"/>
      <name val="Aptos"/>
      <family val="2"/>
    </font>
    <font>
      <b/>
      <sz val="11"/>
      <color rgb="FFFFFFFF"/>
      <name val="Aptos Narrow"/>
      <family val="2"/>
      <scheme val="minor"/>
    </font>
    <font>
      <i/>
      <sz val="11"/>
      <color rgb="FF666666"/>
      <name val="Aptos Narrow"/>
      <family val="2"/>
      <scheme val="minor"/>
    </font>
    <font>
      <b/>
      <sz val="18"/>
      <color rgb="FFFFFFFF"/>
      <name val="Aptos Narrow"/>
      <family val="2"/>
      <scheme val="minor"/>
    </font>
    <font>
      <b/>
      <sz val="12"/>
      <color rgb="FFFFFFFF"/>
      <name val="Aptos Narrow"/>
      <family val="2"/>
      <scheme val="minor"/>
    </font>
    <font>
      <b/>
      <sz val="18"/>
      <color rgb="FFFFFFFF"/>
      <name val="Aptos"/>
      <family val="2"/>
    </font>
    <font>
      <i/>
      <sz val="11"/>
      <color rgb="FF666666"/>
      <name val="Aptos"/>
      <family val="2"/>
    </font>
    <font>
      <b/>
      <sz val="12"/>
      <color rgb="FFFFFFFF"/>
      <name val="Aptos"/>
      <family val="2"/>
    </font>
    <font>
      <b/>
      <sz val="11"/>
      <color rgb="FFFFFFFF"/>
      <name val="Aptos"/>
      <family val="2"/>
    </font>
    <font>
      <b/>
      <sz val="20"/>
      <color rgb="FFFFFFFF"/>
      <name val="Aptos"/>
      <family val="2"/>
    </font>
    <font>
      <b/>
      <sz val="11"/>
      <color rgb="FF2A9D8F"/>
      <name val="Aptos"/>
      <family val="2"/>
    </font>
    <font>
      <b/>
      <sz val="14"/>
      <color theme="1"/>
      <name val="Arial"/>
      <family val="2"/>
    </font>
    <font>
      <b/>
      <sz val="16"/>
      <color theme="1"/>
      <name val="Aptos Narrow"/>
      <family val="2"/>
      <scheme val="minor"/>
    </font>
  </fonts>
  <fills count="5">
    <fill>
      <patternFill patternType="none"/>
    </fill>
    <fill>
      <patternFill patternType="gray125"/>
    </fill>
    <fill>
      <patternFill patternType="solid">
        <fgColor rgb="FF1F4E5F"/>
        <bgColor indexed="64"/>
      </patternFill>
    </fill>
    <fill>
      <patternFill patternType="solid">
        <fgColor rgb="FF2A9D8F"/>
        <bgColor indexed="64"/>
      </patternFill>
    </fill>
    <fill>
      <patternFill patternType="solid">
        <fgColor rgb="FFF7FAFC"/>
        <bgColor indexed="64"/>
      </patternFill>
    </fill>
  </fills>
  <borders count="3">
    <border>
      <left/>
      <right/>
      <top/>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style="thin">
        <color rgb="FFD0D7DE"/>
      </top>
      <bottom/>
      <diagonal/>
    </border>
  </borders>
  <cellStyleXfs count="1">
    <xf numFmtId="0" fontId="0" fillId="0" borderId="0"/>
  </cellStyleXfs>
  <cellXfs count="40">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3" fillId="0" borderId="0" xfId="0" applyFont="1"/>
    <xf numFmtId="0" fontId="4" fillId="0" borderId="0" xfId="0" applyFont="1"/>
    <xf numFmtId="164" fontId="0" fillId="0" borderId="0" xfId="0" applyNumberFormat="1"/>
    <xf numFmtId="3" fontId="0" fillId="0" borderId="0" xfId="0" applyNumberFormat="1"/>
    <xf numFmtId="0" fontId="1" fillId="0" borderId="0" xfId="0" applyFont="1"/>
    <xf numFmtId="0" fontId="5" fillId="2" borderId="1" xfId="0" applyFont="1" applyFill="1" applyBorder="1" applyAlignment="1">
      <alignment horizontal="center"/>
    </xf>
    <xf numFmtId="0" fontId="0" fillId="0" borderId="1" xfId="0" applyBorder="1"/>
    <xf numFmtId="164" fontId="0" fillId="0" borderId="1" xfId="0" applyNumberFormat="1" applyBorder="1"/>
    <xf numFmtId="3" fontId="0" fillId="0" borderId="1" xfId="0" applyNumberFormat="1" applyBorder="1"/>
    <xf numFmtId="0" fontId="2" fillId="0" borderId="0" xfId="0" applyFont="1"/>
    <xf numFmtId="166" fontId="0" fillId="0" borderId="0" xfId="0" applyNumberFormat="1"/>
    <xf numFmtId="0" fontId="12" fillId="2" borderId="1" xfId="0" applyFont="1" applyFill="1" applyBorder="1" applyAlignment="1">
      <alignment horizontal="center"/>
    </xf>
    <xf numFmtId="0" fontId="4" fillId="0" borderId="1" xfId="0" applyFont="1" applyBorder="1"/>
    <xf numFmtId="166" fontId="4" fillId="0" borderId="1" xfId="0" applyNumberFormat="1" applyFont="1" applyBorder="1"/>
    <xf numFmtId="3" fontId="4" fillId="0" borderId="1" xfId="0" applyNumberFormat="1" applyFont="1" applyBorder="1"/>
    <xf numFmtId="0" fontId="4" fillId="0" borderId="1" xfId="0" applyFont="1" applyBorder="1" applyAlignment="1">
      <alignment wrapText="1"/>
    </xf>
    <xf numFmtId="0" fontId="14" fillId="0" borderId="1" xfId="0" applyFont="1" applyBorder="1"/>
    <xf numFmtId="0" fontId="14" fillId="0" borderId="2" xfId="0" applyFont="1" applyBorder="1"/>
    <xf numFmtId="0" fontId="4" fillId="0" borderId="2" xfId="0" applyFont="1" applyBorder="1" applyAlignment="1">
      <alignment wrapText="1"/>
    </xf>
    <xf numFmtId="0" fontId="15" fillId="0" borderId="0" xfId="0" applyFont="1"/>
    <xf numFmtId="0" fontId="4" fillId="0" borderId="1" xfId="0" applyFont="1" applyBorder="1" applyAlignment="1">
      <alignment horizontal="center"/>
    </xf>
    <xf numFmtId="0" fontId="16" fillId="0" borderId="0" xfId="0" applyFont="1"/>
    <xf numFmtId="0" fontId="13" fillId="2" borderId="0" xfId="0" applyFont="1" applyFill="1"/>
    <xf numFmtId="0" fontId="4" fillId="0" borderId="0" xfId="0" applyFont="1"/>
    <xf numFmtId="0" fontId="10" fillId="0" borderId="0" xfId="0" applyFont="1"/>
    <xf numFmtId="0" fontId="7" fillId="2" borderId="0" xfId="0" applyFont="1" applyFill="1"/>
    <xf numFmtId="0" fontId="0" fillId="0" borderId="0" xfId="0"/>
    <xf numFmtId="0" fontId="6" fillId="0" borderId="0" xfId="0" applyFont="1"/>
    <xf numFmtId="0" fontId="8" fillId="3" borderId="0" xfId="0" applyFont="1" applyFill="1"/>
    <xf numFmtId="0" fontId="0" fillId="4" borderId="1" xfId="0" applyFill="1" applyBorder="1" applyAlignment="1">
      <alignment wrapText="1"/>
    </xf>
    <xf numFmtId="0" fontId="0" fillId="0" borderId="1" xfId="0" applyBorder="1"/>
    <xf numFmtId="0" fontId="11" fillId="3" borderId="0" xfId="0" applyFont="1" applyFill="1"/>
    <xf numFmtId="0" fontId="4" fillId="4" borderId="1" xfId="0" applyFont="1" applyFill="1" applyBorder="1" applyAlignment="1">
      <alignment wrapText="1"/>
    </xf>
    <xf numFmtId="0" fontId="4" fillId="0" borderId="1" xfId="0" applyFont="1" applyBorder="1"/>
    <xf numFmtId="0" fontId="9" fillId="2" borderId="0" xfId="0" applyFont="1" applyFill="1"/>
  </cellXfs>
  <cellStyles count="1">
    <cellStyle name="Normal" xfId="0" builtinId="0"/>
  </cellStyles>
  <dxfs count="13">
    <dxf>
      <numFmt numFmtId="0" formatCode="General"/>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3" formatCode="#,##0"/>
    </dxf>
    <dxf>
      <numFmt numFmtId="0" formatCode="General"/>
    </dxf>
    <dxf>
      <numFmt numFmtId="27" formatCode="yyyy/mm/dd\ hh:mm"/>
    </dxf>
    <dxf>
      <numFmt numFmtId="0" formatCode="General"/>
    </dxf>
    <dxf>
      <numFmt numFmtId="0" formatCode="General"/>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dashboards.xlsx]Category Pivots!PivotTable1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Pivots'!$B$3</c:f>
              <c:strCache>
                <c:ptCount val="1"/>
                <c:pt idx="0">
                  <c:v>Total</c:v>
                </c:pt>
              </c:strCache>
            </c:strRef>
          </c:tx>
          <c:spPr>
            <a:solidFill>
              <a:schemeClr val="accent1"/>
            </a:solidFill>
            <a:ln>
              <a:noFill/>
            </a:ln>
            <a:effectLst/>
          </c:spPr>
          <c:invertIfNegative val="0"/>
          <c:cat>
            <c:strRef>
              <c:f>'Category Pivots'!$A$4:$A$8</c:f>
              <c:strCache>
                <c:ptCount val="4"/>
                <c:pt idx="0">
                  <c:v>Bakery</c:v>
                </c:pt>
                <c:pt idx="1">
                  <c:v>Coffee</c:v>
                </c:pt>
                <c:pt idx="2">
                  <c:v>Drinking Chocolate</c:v>
                </c:pt>
                <c:pt idx="3">
                  <c:v>Tea</c:v>
                </c:pt>
              </c:strCache>
            </c:strRef>
          </c:cat>
          <c:val>
            <c:numRef>
              <c:f>'Category Pivots'!$B$4:$B$8</c:f>
              <c:numCache>
                <c:formatCode>General</c:formatCode>
                <c:ptCount val="4"/>
                <c:pt idx="0">
                  <c:v>132</c:v>
                </c:pt>
                <c:pt idx="1">
                  <c:v>444</c:v>
                </c:pt>
                <c:pt idx="2">
                  <c:v>80</c:v>
                </c:pt>
                <c:pt idx="3">
                  <c:v>344</c:v>
                </c:pt>
              </c:numCache>
            </c:numRef>
          </c:val>
          <c:extLst>
            <c:ext xmlns:c16="http://schemas.microsoft.com/office/drawing/2014/chart" uri="{C3380CC4-5D6E-409C-BE32-E72D297353CC}">
              <c16:uniqueId val="{00000000-497E-4222-9242-F8D37556B51E}"/>
            </c:ext>
          </c:extLst>
        </c:ser>
        <c:dLbls>
          <c:showLegendKey val="0"/>
          <c:showVal val="0"/>
          <c:showCatName val="0"/>
          <c:showSerName val="0"/>
          <c:showPercent val="0"/>
          <c:showBubbleSize val="0"/>
        </c:dLbls>
        <c:gapWidth val="219"/>
        <c:overlap val="-27"/>
        <c:axId val="132584927"/>
        <c:axId val="132583007"/>
      </c:barChart>
      <c:catAx>
        <c:axId val="13258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83007"/>
        <c:crosses val="autoZero"/>
        <c:auto val="1"/>
        <c:lblAlgn val="ctr"/>
        <c:lblOffset val="100"/>
        <c:noMultiLvlLbl val="0"/>
      </c:catAx>
      <c:valAx>
        <c:axId val="13258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8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dashboards.xlsx]Category Pivots!PivotTable2</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Pivots'!$B$11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9A9-44B5-BEB9-0689BAD124F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9A9-44B5-BEB9-0689BAD124F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9A9-44B5-BEB9-0689BAD124F7}"/>
              </c:ext>
            </c:extLst>
          </c:dPt>
          <c:cat>
            <c:strRef>
              <c:f>'Category Pivots'!$A$12:$A$15</c:f>
              <c:strCache>
                <c:ptCount val="3"/>
                <c:pt idx="0">
                  <c:v>Astoria</c:v>
                </c:pt>
                <c:pt idx="1">
                  <c:v>Hell's Kitchen</c:v>
                </c:pt>
                <c:pt idx="2">
                  <c:v>Lower Manhattan</c:v>
                </c:pt>
              </c:strCache>
            </c:strRef>
          </c:cat>
          <c:val>
            <c:numRef>
              <c:f>'Category Pivots'!$B$12:$B$15</c:f>
              <c:numCache>
                <c:formatCode>General</c:formatCode>
                <c:ptCount val="3"/>
                <c:pt idx="0">
                  <c:v>337</c:v>
                </c:pt>
                <c:pt idx="1">
                  <c:v>339</c:v>
                </c:pt>
                <c:pt idx="2">
                  <c:v>324</c:v>
                </c:pt>
              </c:numCache>
            </c:numRef>
          </c:val>
          <c:extLst>
            <c:ext xmlns:c16="http://schemas.microsoft.com/office/drawing/2014/chart" uri="{C3380CC4-5D6E-409C-BE32-E72D297353CC}">
              <c16:uniqueId val="{00000000-7154-4B4D-B293-D5323A74BC1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dashboards.xlsx]Category Pivots!PivotTable4</c:name>
    <c:fmtId val="3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Pivots'!$B$21</c:f>
              <c:strCache>
                <c:ptCount val="1"/>
                <c:pt idx="0">
                  <c:v>Total</c:v>
                </c:pt>
              </c:strCache>
            </c:strRef>
          </c:tx>
          <c:spPr>
            <a:solidFill>
              <a:schemeClr val="accent1"/>
            </a:solidFill>
            <a:ln>
              <a:noFill/>
            </a:ln>
            <a:effectLst/>
          </c:spPr>
          <c:invertIfNegative val="0"/>
          <c:cat>
            <c:strRef>
              <c:f>'Category Pivots'!$A$22:$A$26</c:f>
              <c:strCache>
                <c:ptCount val="4"/>
                <c:pt idx="0">
                  <c:v>Bakery</c:v>
                </c:pt>
                <c:pt idx="1">
                  <c:v>Coffee</c:v>
                </c:pt>
                <c:pt idx="2">
                  <c:v>Drinking Chocolate</c:v>
                </c:pt>
                <c:pt idx="3">
                  <c:v>Tea</c:v>
                </c:pt>
              </c:strCache>
            </c:strRef>
          </c:cat>
          <c:val>
            <c:numRef>
              <c:f>'Category Pivots'!$B$22:$B$26</c:f>
              <c:numCache>
                <c:formatCode>General</c:formatCode>
                <c:ptCount val="4"/>
                <c:pt idx="0">
                  <c:v>132</c:v>
                </c:pt>
                <c:pt idx="1">
                  <c:v>444</c:v>
                </c:pt>
                <c:pt idx="2">
                  <c:v>80</c:v>
                </c:pt>
                <c:pt idx="3">
                  <c:v>344</c:v>
                </c:pt>
              </c:numCache>
            </c:numRef>
          </c:val>
          <c:extLst>
            <c:ext xmlns:c16="http://schemas.microsoft.com/office/drawing/2014/chart" uri="{C3380CC4-5D6E-409C-BE32-E72D297353CC}">
              <c16:uniqueId val="{00000000-7F49-4170-8078-15500E0D31F6}"/>
            </c:ext>
          </c:extLst>
        </c:ser>
        <c:dLbls>
          <c:showLegendKey val="0"/>
          <c:showVal val="0"/>
          <c:showCatName val="0"/>
          <c:showSerName val="0"/>
          <c:showPercent val="0"/>
          <c:showBubbleSize val="0"/>
        </c:dLbls>
        <c:gapWidth val="182"/>
        <c:axId val="145258687"/>
        <c:axId val="144242895"/>
      </c:barChart>
      <c:catAx>
        <c:axId val="14525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2895"/>
        <c:crosses val="autoZero"/>
        <c:auto val="1"/>
        <c:lblAlgn val="ctr"/>
        <c:lblOffset val="100"/>
        <c:noMultiLvlLbl val="0"/>
      </c:catAx>
      <c:valAx>
        <c:axId val="144242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5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dashboards.xlsx]Category Pivots!PivotTable3</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Pivots'!$I$3</c:f>
              <c:strCache>
                <c:ptCount val="1"/>
                <c:pt idx="0">
                  <c:v>Total</c:v>
                </c:pt>
              </c:strCache>
            </c:strRef>
          </c:tx>
          <c:spPr>
            <a:solidFill>
              <a:schemeClr val="accent1"/>
            </a:solidFill>
            <a:ln>
              <a:noFill/>
            </a:ln>
            <a:effectLst/>
          </c:spPr>
          <c:invertIfNegative val="0"/>
          <c:cat>
            <c:strRef>
              <c:f>'Category Pivots'!$H$4:$H$17</c:f>
              <c:strCache>
                <c:ptCount val="13"/>
                <c:pt idx="0">
                  <c:v>Barista Espresso</c:v>
                </c:pt>
                <c:pt idx="1">
                  <c:v>Biscotti</c:v>
                </c:pt>
                <c:pt idx="2">
                  <c:v>Brewed Black tea</c:v>
                </c:pt>
                <c:pt idx="3">
                  <c:v>Brewed Chai tea</c:v>
                </c:pt>
                <c:pt idx="4">
                  <c:v>Brewed Green tea</c:v>
                </c:pt>
                <c:pt idx="5">
                  <c:v>Brewed herbal tea</c:v>
                </c:pt>
                <c:pt idx="6">
                  <c:v>Drip coffee</c:v>
                </c:pt>
                <c:pt idx="7">
                  <c:v>Gourmet brewed coffee</c:v>
                </c:pt>
                <c:pt idx="8">
                  <c:v>Hot chocolate</c:v>
                </c:pt>
                <c:pt idx="9">
                  <c:v>Organic brewed coffee</c:v>
                </c:pt>
                <c:pt idx="10">
                  <c:v>Pastry</c:v>
                </c:pt>
                <c:pt idx="11">
                  <c:v>Premium brewed coffee</c:v>
                </c:pt>
                <c:pt idx="12">
                  <c:v>Scone</c:v>
                </c:pt>
              </c:strCache>
            </c:strRef>
          </c:cat>
          <c:val>
            <c:numRef>
              <c:f>'Category Pivots'!$I$4:$I$17</c:f>
              <c:numCache>
                <c:formatCode>General</c:formatCode>
                <c:ptCount val="13"/>
                <c:pt idx="0">
                  <c:v>115</c:v>
                </c:pt>
                <c:pt idx="1">
                  <c:v>32</c:v>
                </c:pt>
                <c:pt idx="2">
                  <c:v>78</c:v>
                </c:pt>
                <c:pt idx="3">
                  <c:v>134</c:v>
                </c:pt>
                <c:pt idx="4">
                  <c:v>48</c:v>
                </c:pt>
                <c:pt idx="5">
                  <c:v>84</c:v>
                </c:pt>
                <c:pt idx="6">
                  <c:v>76</c:v>
                </c:pt>
                <c:pt idx="7">
                  <c:v>116</c:v>
                </c:pt>
                <c:pt idx="8">
                  <c:v>80</c:v>
                </c:pt>
                <c:pt idx="9">
                  <c:v>74</c:v>
                </c:pt>
                <c:pt idx="10">
                  <c:v>37</c:v>
                </c:pt>
                <c:pt idx="11">
                  <c:v>63</c:v>
                </c:pt>
                <c:pt idx="12">
                  <c:v>63</c:v>
                </c:pt>
              </c:numCache>
            </c:numRef>
          </c:val>
          <c:extLst>
            <c:ext xmlns:c16="http://schemas.microsoft.com/office/drawing/2014/chart" uri="{C3380CC4-5D6E-409C-BE32-E72D297353CC}">
              <c16:uniqueId val="{00000000-66B7-49DC-977D-2169DDDE75BB}"/>
            </c:ext>
          </c:extLst>
        </c:ser>
        <c:dLbls>
          <c:showLegendKey val="0"/>
          <c:showVal val="0"/>
          <c:showCatName val="0"/>
          <c:showSerName val="0"/>
          <c:showPercent val="0"/>
          <c:showBubbleSize val="0"/>
        </c:dLbls>
        <c:gapWidth val="150"/>
        <c:overlap val="100"/>
        <c:axId val="558582431"/>
        <c:axId val="558584831"/>
      </c:barChart>
      <c:catAx>
        <c:axId val="55858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84831"/>
        <c:crosses val="autoZero"/>
        <c:auto val="1"/>
        <c:lblAlgn val="ctr"/>
        <c:lblOffset val="100"/>
        <c:noMultiLvlLbl val="0"/>
      </c:catAx>
      <c:valAx>
        <c:axId val="55858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8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dashboards.xlsx]Category Pivots!PivotTable5</c:name>
    <c:fmtId val="4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'Category Pivots'!$B$32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'Category Pivots'!$A$33:$A$37</c:f>
              <c:strCache>
                <c:ptCount val="4"/>
                <c:pt idx="0">
                  <c:v>Bakery</c:v>
                </c:pt>
                <c:pt idx="1">
                  <c:v>Coffee</c:v>
                </c:pt>
                <c:pt idx="2">
                  <c:v>Drinking Chocolate</c:v>
                </c:pt>
                <c:pt idx="3">
                  <c:v>Tea</c:v>
                </c:pt>
              </c:strCache>
            </c:strRef>
          </c:cat>
          <c:val>
            <c:numRef>
              <c:f>'Category Pivots'!$B$33:$B$37</c:f>
              <c:numCache>
                <c:formatCode>General</c:formatCode>
                <c:ptCount val="4"/>
                <c:pt idx="0">
                  <c:v>132</c:v>
                </c:pt>
                <c:pt idx="1">
                  <c:v>444</c:v>
                </c:pt>
                <c:pt idx="2">
                  <c:v>80</c:v>
                </c:pt>
                <c:pt idx="3">
                  <c:v>344</c:v>
                </c:pt>
              </c:numCache>
            </c:numRef>
          </c:val>
          <c:smooth val="0"/>
          <c:extLst>
            <c:ext xmlns:c16="http://schemas.microsoft.com/office/drawing/2014/chart" uri="{C3380CC4-5D6E-409C-BE32-E72D297353CC}">
              <c16:uniqueId val="{00000000-641B-4D57-9C15-A4043FE91D2E}"/>
            </c:ext>
          </c:extLst>
        </c:ser>
        <c:dLbls>
          <c:showLegendKey val="0"/>
          <c:showVal val="0"/>
          <c:showCatName val="0"/>
          <c:showSerName val="0"/>
          <c:showPercent val="0"/>
          <c:showBubbleSize val="0"/>
        </c:dLbls>
        <c:marker val="1"/>
        <c:smooth val="0"/>
        <c:axId val="496883279"/>
        <c:axId val="496877519"/>
      </c:lineChart>
      <c:catAx>
        <c:axId val="49688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877519"/>
        <c:crosses val="autoZero"/>
        <c:auto val="1"/>
        <c:lblAlgn val="ctr"/>
        <c:lblOffset val="100"/>
        <c:noMultiLvlLbl val="0"/>
      </c:catAx>
      <c:valAx>
        <c:axId val="49687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88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dashboards.xlsx]Price Hour Pivots!PivotTable1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'Price Hour Pivots'!$B$3</c:f>
              <c:strCache>
                <c:ptCount val="1"/>
                <c:pt idx="0">
                  <c:v>Total</c:v>
                </c:pt>
              </c:strCache>
            </c:strRef>
          </c:tx>
          <c:spPr>
            <a:ln w="28575" cap="rnd">
              <a:solidFill>
                <a:schemeClr val="accent1"/>
              </a:solidFill>
              <a:round/>
            </a:ln>
            <a:effectLst/>
          </c:spPr>
          <c:marker>
            <c:symbol val="none"/>
          </c:marker>
          <c:cat>
            <c:strRef>
              <c:f>'Price Hour Pivots'!$A$4:$A$30</c:f>
              <c:strCache>
                <c:ptCount val="26"/>
                <c:pt idx="0">
                  <c:v>2</c:v>
                </c:pt>
                <c:pt idx="1">
                  <c:v>2.2</c:v>
                </c:pt>
                <c:pt idx="2">
                  <c:v>2.45</c:v>
                </c:pt>
                <c:pt idx="3">
                  <c:v>2.5</c:v>
                </c:pt>
                <c:pt idx="4">
                  <c:v>2.55</c:v>
                </c:pt>
                <c:pt idx="5">
                  <c:v>3</c:v>
                </c:pt>
                <c:pt idx="6">
                  <c:v>3.1</c:v>
                </c:pt>
                <c:pt idx="7">
                  <c:v>3.25</c:v>
                </c:pt>
                <c:pt idx="8">
                  <c:v>3.5</c:v>
                </c:pt>
                <c:pt idx="9">
                  <c:v>3.75</c:v>
                </c:pt>
                <c:pt idx="10">
                  <c:v>4</c:v>
                </c:pt>
                <c:pt idx="11">
                  <c:v>4.25</c:v>
                </c:pt>
                <c:pt idx="12">
                  <c:v>4.4</c:v>
                </c:pt>
                <c:pt idx="13">
                  <c:v>4.5</c:v>
                </c:pt>
                <c:pt idx="14">
                  <c:v>4.75</c:v>
                </c:pt>
                <c:pt idx="15">
                  <c:v>4.9</c:v>
                </c:pt>
                <c:pt idx="16">
                  <c:v>5</c:v>
                </c:pt>
                <c:pt idx="17">
                  <c:v>5.1</c:v>
                </c:pt>
                <c:pt idx="18">
                  <c:v>6</c:v>
                </c:pt>
                <c:pt idx="19">
                  <c:v>6.2</c:v>
                </c:pt>
                <c:pt idx="20">
                  <c:v>7</c:v>
                </c:pt>
                <c:pt idx="21">
                  <c:v>7.5</c:v>
                </c:pt>
                <c:pt idx="22">
                  <c:v>8</c:v>
                </c:pt>
                <c:pt idx="23">
                  <c:v>8.5</c:v>
                </c:pt>
                <c:pt idx="24">
                  <c:v>9</c:v>
                </c:pt>
                <c:pt idx="25">
                  <c:v>9.5</c:v>
                </c:pt>
              </c:strCache>
            </c:strRef>
          </c:cat>
          <c:val>
            <c:numRef>
              <c:f>'Price Hour Pivots'!$B$4:$B$30</c:f>
              <c:numCache>
                <c:formatCode>General</c:formatCode>
                <c:ptCount val="26"/>
                <c:pt idx="0">
                  <c:v>304</c:v>
                </c:pt>
                <c:pt idx="1">
                  <c:v>187</c:v>
                </c:pt>
                <c:pt idx="2">
                  <c:v>94</c:v>
                </c:pt>
                <c:pt idx="3">
                  <c:v>1400</c:v>
                </c:pt>
                <c:pt idx="4">
                  <c:v>147</c:v>
                </c:pt>
                <c:pt idx="5">
                  <c:v>1662</c:v>
                </c:pt>
                <c:pt idx="6">
                  <c:v>296</c:v>
                </c:pt>
                <c:pt idx="7">
                  <c:v>451</c:v>
                </c:pt>
                <c:pt idx="8">
                  <c:v>810</c:v>
                </c:pt>
                <c:pt idx="9">
                  <c:v>1155</c:v>
                </c:pt>
                <c:pt idx="10">
                  <c:v>492</c:v>
                </c:pt>
                <c:pt idx="11">
                  <c:v>247</c:v>
                </c:pt>
                <c:pt idx="12">
                  <c:v>374</c:v>
                </c:pt>
                <c:pt idx="13">
                  <c:v>319</c:v>
                </c:pt>
                <c:pt idx="14">
                  <c:v>171</c:v>
                </c:pt>
                <c:pt idx="15">
                  <c:v>182</c:v>
                </c:pt>
                <c:pt idx="16">
                  <c:v>1297</c:v>
                </c:pt>
                <c:pt idx="17">
                  <c:v>110</c:v>
                </c:pt>
                <c:pt idx="18">
                  <c:v>1687</c:v>
                </c:pt>
                <c:pt idx="19">
                  <c:v>151</c:v>
                </c:pt>
                <c:pt idx="20">
                  <c:v>396</c:v>
                </c:pt>
                <c:pt idx="21">
                  <c:v>664</c:v>
                </c:pt>
                <c:pt idx="22">
                  <c:v>120</c:v>
                </c:pt>
                <c:pt idx="23">
                  <c:v>269</c:v>
                </c:pt>
                <c:pt idx="24">
                  <c:v>66</c:v>
                </c:pt>
                <c:pt idx="25">
                  <c:v>90</c:v>
                </c:pt>
              </c:numCache>
            </c:numRef>
          </c:val>
          <c:smooth val="0"/>
          <c:extLst>
            <c:ext xmlns:c16="http://schemas.microsoft.com/office/drawing/2014/chart" uri="{C3380CC4-5D6E-409C-BE32-E72D297353CC}">
              <c16:uniqueId val="{00000000-FC68-4709-AE2E-6B246553156A}"/>
            </c:ext>
          </c:extLst>
        </c:ser>
        <c:dLbls>
          <c:showLegendKey val="0"/>
          <c:showVal val="0"/>
          <c:showCatName val="0"/>
          <c:showSerName val="0"/>
          <c:showPercent val="0"/>
          <c:showBubbleSize val="0"/>
        </c:dLbls>
        <c:smooth val="0"/>
        <c:axId val="2081250239"/>
        <c:axId val="2081251199"/>
      </c:lineChart>
      <c:catAx>
        <c:axId val="208125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51199"/>
        <c:crosses val="autoZero"/>
        <c:auto val="1"/>
        <c:lblAlgn val="ctr"/>
        <c:lblOffset val="100"/>
        <c:noMultiLvlLbl val="0"/>
      </c:catAx>
      <c:valAx>
        <c:axId val="208125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5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dashboards.xlsx]Price Hour Pivots!PivotTable2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Hour Pivots'!$M$5</c:f>
              <c:strCache>
                <c:ptCount val="1"/>
                <c:pt idx="0">
                  <c:v>Total</c:v>
                </c:pt>
              </c:strCache>
            </c:strRef>
          </c:tx>
          <c:spPr>
            <a:solidFill>
              <a:schemeClr val="accent1"/>
            </a:solidFill>
            <a:ln>
              <a:noFill/>
            </a:ln>
            <a:effectLst/>
          </c:spPr>
          <c:invertIfNegative val="0"/>
          <c:cat>
            <c:strRef>
              <c:f>'Price Hour Pivots'!$L$6:$L$32</c:f>
              <c:strCache>
                <c:ptCount val="26"/>
                <c:pt idx="0">
                  <c:v>2</c:v>
                </c:pt>
                <c:pt idx="1">
                  <c:v>2.2</c:v>
                </c:pt>
                <c:pt idx="2">
                  <c:v>2.45</c:v>
                </c:pt>
                <c:pt idx="3">
                  <c:v>2.5</c:v>
                </c:pt>
                <c:pt idx="4">
                  <c:v>2.55</c:v>
                </c:pt>
                <c:pt idx="5">
                  <c:v>3</c:v>
                </c:pt>
                <c:pt idx="6">
                  <c:v>3.1</c:v>
                </c:pt>
                <c:pt idx="7">
                  <c:v>3.25</c:v>
                </c:pt>
                <c:pt idx="8">
                  <c:v>3.5</c:v>
                </c:pt>
                <c:pt idx="9">
                  <c:v>3.75</c:v>
                </c:pt>
                <c:pt idx="10">
                  <c:v>4</c:v>
                </c:pt>
                <c:pt idx="11">
                  <c:v>4.25</c:v>
                </c:pt>
                <c:pt idx="12">
                  <c:v>4.4</c:v>
                </c:pt>
                <c:pt idx="13">
                  <c:v>4.5</c:v>
                </c:pt>
                <c:pt idx="14">
                  <c:v>4.75</c:v>
                </c:pt>
                <c:pt idx="15">
                  <c:v>4.9</c:v>
                </c:pt>
                <c:pt idx="16">
                  <c:v>5</c:v>
                </c:pt>
                <c:pt idx="17">
                  <c:v>5.1</c:v>
                </c:pt>
                <c:pt idx="18">
                  <c:v>6</c:v>
                </c:pt>
                <c:pt idx="19">
                  <c:v>6.2</c:v>
                </c:pt>
                <c:pt idx="20">
                  <c:v>7</c:v>
                </c:pt>
                <c:pt idx="21">
                  <c:v>7.5</c:v>
                </c:pt>
                <c:pt idx="22">
                  <c:v>8</c:v>
                </c:pt>
                <c:pt idx="23">
                  <c:v>8.5</c:v>
                </c:pt>
                <c:pt idx="24">
                  <c:v>9</c:v>
                </c:pt>
                <c:pt idx="25">
                  <c:v>9.5</c:v>
                </c:pt>
              </c:strCache>
            </c:strRef>
          </c:cat>
          <c:val>
            <c:numRef>
              <c:f>'Price Hour Pivots'!$M$6:$M$32</c:f>
              <c:numCache>
                <c:formatCode>General</c:formatCode>
                <c:ptCount val="26"/>
                <c:pt idx="0">
                  <c:v>23</c:v>
                </c:pt>
                <c:pt idx="1">
                  <c:v>14</c:v>
                </c:pt>
                <c:pt idx="2">
                  <c:v>7</c:v>
                </c:pt>
                <c:pt idx="3">
                  <c:v>106</c:v>
                </c:pt>
                <c:pt idx="4">
                  <c:v>12</c:v>
                </c:pt>
                <c:pt idx="5">
                  <c:v>132</c:v>
                </c:pt>
                <c:pt idx="6">
                  <c:v>23</c:v>
                </c:pt>
                <c:pt idx="7">
                  <c:v>35</c:v>
                </c:pt>
                <c:pt idx="8">
                  <c:v>62</c:v>
                </c:pt>
                <c:pt idx="9">
                  <c:v>86</c:v>
                </c:pt>
                <c:pt idx="10">
                  <c:v>38</c:v>
                </c:pt>
                <c:pt idx="11">
                  <c:v>18</c:v>
                </c:pt>
                <c:pt idx="12">
                  <c:v>30</c:v>
                </c:pt>
                <c:pt idx="13">
                  <c:v>24</c:v>
                </c:pt>
                <c:pt idx="14">
                  <c:v>14</c:v>
                </c:pt>
                <c:pt idx="15">
                  <c:v>12</c:v>
                </c:pt>
                <c:pt idx="16">
                  <c:v>96</c:v>
                </c:pt>
                <c:pt idx="17">
                  <c:v>9</c:v>
                </c:pt>
                <c:pt idx="18">
                  <c:v>128</c:v>
                </c:pt>
                <c:pt idx="19">
                  <c:v>12</c:v>
                </c:pt>
                <c:pt idx="20">
                  <c:v>30</c:v>
                </c:pt>
                <c:pt idx="21">
                  <c:v>49</c:v>
                </c:pt>
                <c:pt idx="22">
                  <c:v>7</c:v>
                </c:pt>
                <c:pt idx="23">
                  <c:v>20</c:v>
                </c:pt>
                <c:pt idx="24">
                  <c:v>6</c:v>
                </c:pt>
                <c:pt idx="25">
                  <c:v>7</c:v>
                </c:pt>
              </c:numCache>
            </c:numRef>
          </c:val>
          <c:extLst>
            <c:ext xmlns:c16="http://schemas.microsoft.com/office/drawing/2014/chart" uri="{C3380CC4-5D6E-409C-BE32-E72D297353CC}">
              <c16:uniqueId val="{00000000-4E86-4D62-98D1-A2CBCE546215}"/>
            </c:ext>
          </c:extLst>
        </c:ser>
        <c:dLbls>
          <c:showLegendKey val="0"/>
          <c:showVal val="0"/>
          <c:showCatName val="0"/>
          <c:showSerName val="0"/>
          <c:showPercent val="0"/>
          <c:showBubbleSize val="0"/>
        </c:dLbls>
        <c:gapWidth val="219"/>
        <c:overlap val="-27"/>
        <c:axId val="141529056"/>
        <c:axId val="141531936"/>
      </c:barChart>
      <c:catAx>
        <c:axId val="1415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31936"/>
        <c:crosses val="autoZero"/>
        <c:auto val="1"/>
        <c:lblAlgn val="ctr"/>
        <c:lblOffset val="100"/>
        <c:noMultiLvlLbl val="0"/>
      </c:catAx>
      <c:valAx>
        <c:axId val="14153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2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dashboards.xlsx]Category Pivots!PivotTable1</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92077020546894"/>
          <c:y val="0.26800759979629413"/>
          <c:w val="0.73997777794151987"/>
          <c:h val="0.44899322286206761"/>
        </c:manualLayout>
      </c:layout>
      <c:barChart>
        <c:barDir val="col"/>
        <c:grouping val="clustered"/>
        <c:varyColors val="0"/>
        <c:ser>
          <c:idx val="0"/>
          <c:order val="0"/>
          <c:tx>
            <c:strRef>
              <c:f>'Category Pivots'!$B$3</c:f>
              <c:strCache>
                <c:ptCount val="1"/>
                <c:pt idx="0">
                  <c:v>Total</c:v>
                </c:pt>
              </c:strCache>
            </c:strRef>
          </c:tx>
          <c:spPr>
            <a:solidFill>
              <a:schemeClr val="accent1"/>
            </a:solidFill>
            <a:ln>
              <a:noFill/>
            </a:ln>
            <a:effectLst/>
          </c:spPr>
          <c:invertIfNegative val="0"/>
          <c:cat>
            <c:strRef>
              <c:f>'Category Pivots'!$A$4:$A$8</c:f>
              <c:strCache>
                <c:ptCount val="4"/>
                <c:pt idx="0">
                  <c:v>Bakery</c:v>
                </c:pt>
                <c:pt idx="1">
                  <c:v>Coffee</c:v>
                </c:pt>
                <c:pt idx="2">
                  <c:v>Drinking Chocolate</c:v>
                </c:pt>
                <c:pt idx="3">
                  <c:v>Tea</c:v>
                </c:pt>
              </c:strCache>
            </c:strRef>
          </c:cat>
          <c:val>
            <c:numRef>
              <c:f>'Category Pivots'!$B$4:$B$8</c:f>
              <c:numCache>
                <c:formatCode>General</c:formatCode>
                <c:ptCount val="4"/>
                <c:pt idx="0">
                  <c:v>132</c:v>
                </c:pt>
                <c:pt idx="1">
                  <c:v>444</c:v>
                </c:pt>
                <c:pt idx="2">
                  <c:v>80</c:v>
                </c:pt>
                <c:pt idx="3">
                  <c:v>344</c:v>
                </c:pt>
              </c:numCache>
            </c:numRef>
          </c:val>
          <c:extLst>
            <c:ext xmlns:c16="http://schemas.microsoft.com/office/drawing/2014/chart" uri="{C3380CC4-5D6E-409C-BE32-E72D297353CC}">
              <c16:uniqueId val="{00000000-2DE5-4B8C-A408-6A7E3F3DF212}"/>
            </c:ext>
          </c:extLst>
        </c:ser>
        <c:dLbls>
          <c:showLegendKey val="0"/>
          <c:showVal val="0"/>
          <c:showCatName val="0"/>
          <c:showSerName val="0"/>
          <c:showPercent val="0"/>
          <c:showBubbleSize val="0"/>
        </c:dLbls>
        <c:gapWidth val="219"/>
        <c:overlap val="-27"/>
        <c:axId val="132584927"/>
        <c:axId val="132583007"/>
      </c:barChart>
      <c:catAx>
        <c:axId val="13258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83007"/>
        <c:crosses val="autoZero"/>
        <c:auto val="1"/>
        <c:lblAlgn val="ctr"/>
        <c:lblOffset val="100"/>
        <c:noMultiLvlLbl val="0"/>
      </c:catAx>
      <c:valAx>
        <c:axId val="13258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8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dashboards.xlsx]Price Hour Pivots!PivotTable2</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Hour Pivots'!$M$5</c:f>
              <c:strCache>
                <c:ptCount val="1"/>
                <c:pt idx="0">
                  <c:v>Total</c:v>
                </c:pt>
              </c:strCache>
            </c:strRef>
          </c:tx>
          <c:spPr>
            <a:solidFill>
              <a:schemeClr val="accent1"/>
            </a:solidFill>
            <a:ln>
              <a:noFill/>
            </a:ln>
            <a:effectLst/>
          </c:spPr>
          <c:invertIfNegative val="0"/>
          <c:cat>
            <c:strRef>
              <c:f>'Price Hour Pivots'!$L$6:$L$32</c:f>
              <c:strCache>
                <c:ptCount val="26"/>
                <c:pt idx="0">
                  <c:v>2</c:v>
                </c:pt>
                <c:pt idx="1">
                  <c:v>2.2</c:v>
                </c:pt>
                <c:pt idx="2">
                  <c:v>2.45</c:v>
                </c:pt>
                <c:pt idx="3">
                  <c:v>2.5</c:v>
                </c:pt>
                <c:pt idx="4">
                  <c:v>2.55</c:v>
                </c:pt>
                <c:pt idx="5">
                  <c:v>3</c:v>
                </c:pt>
                <c:pt idx="6">
                  <c:v>3.1</c:v>
                </c:pt>
                <c:pt idx="7">
                  <c:v>3.25</c:v>
                </c:pt>
                <c:pt idx="8">
                  <c:v>3.5</c:v>
                </c:pt>
                <c:pt idx="9">
                  <c:v>3.75</c:v>
                </c:pt>
                <c:pt idx="10">
                  <c:v>4</c:v>
                </c:pt>
                <c:pt idx="11">
                  <c:v>4.25</c:v>
                </c:pt>
                <c:pt idx="12">
                  <c:v>4.4</c:v>
                </c:pt>
                <c:pt idx="13">
                  <c:v>4.5</c:v>
                </c:pt>
                <c:pt idx="14">
                  <c:v>4.75</c:v>
                </c:pt>
                <c:pt idx="15">
                  <c:v>4.9</c:v>
                </c:pt>
                <c:pt idx="16">
                  <c:v>5</c:v>
                </c:pt>
                <c:pt idx="17">
                  <c:v>5.1</c:v>
                </c:pt>
                <c:pt idx="18">
                  <c:v>6</c:v>
                </c:pt>
                <c:pt idx="19">
                  <c:v>6.2</c:v>
                </c:pt>
                <c:pt idx="20">
                  <c:v>7</c:v>
                </c:pt>
                <c:pt idx="21">
                  <c:v>7.5</c:v>
                </c:pt>
                <c:pt idx="22">
                  <c:v>8</c:v>
                </c:pt>
                <c:pt idx="23">
                  <c:v>8.5</c:v>
                </c:pt>
                <c:pt idx="24">
                  <c:v>9</c:v>
                </c:pt>
                <c:pt idx="25">
                  <c:v>9.5</c:v>
                </c:pt>
              </c:strCache>
            </c:strRef>
          </c:cat>
          <c:val>
            <c:numRef>
              <c:f>'Price Hour Pivots'!$M$6:$M$32</c:f>
              <c:numCache>
                <c:formatCode>General</c:formatCode>
                <c:ptCount val="26"/>
                <c:pt idx="0">
                  <c:v>23</c:v>
                </c:pt>
                <c:pt idx="1">
                  <c:v>14</c:v>
                </c:pt>
                <c:pt idx="2">
                  <c:v>7</c:v>
                </c:pt>
                <c:pt idx="3">
                  <c:v>106</c:v>
                </c:pt>
                <c:pt idx="4">
                  <c:v>12</c:v>
                </c:pt>
                <c:pt idx="5">
                  <c:v>132</c:v>
                </c:pt>
                <c:pt idx="6">
                  <c:v>23</c:v>
                </c:pt>
                <c:pt idx="7">
                  <c:v>35</c:v>
                </c:pt>
                <c:pt idx="8">
                  <c:v>62</c:v>
                </c:pt>
                <c:pt idx="9">
                  <c:v>86</c:v>
                </c:pt>
                <c:pt idx="10">
                  <c:v>38</c:v>
                </c:pt>
                <c:pt idx="11">
                  <c:v>18</c:v>
                </c:pt>
                <c:pt idx="12">
                  <c:v>30</c:v>
                </c:pt>
                <c:pt idx="13">
                  <c:v>24</c:v>
                </c:pt>
                <c:pt idx="14">
                  <c:v>14</c:v>
                </c:pt>
                <c:pt idx="15">
                  <c:v>12</c:v>
                </c:pt>
                <c:pt idx="16">
                  <c:v>96</c:v>
                </c:pt>
                <c:pt idx="17">
                  <c:v>9</c:v>
                </c:pt>
                <c:pt idx="18">
                  <c:v>128</c:v>
                </c:pt>
                <c:pt idx="19">
                  <c:v>12</c:v>
                </c:pt>
                <c:pt idx="20">
                  <c:v>30</c:v>
                </c:pt>
                <c:pt idx="21">
                  <c:v>49</c:v>
                </c:pt>
                <c:pt idx="22">
                  <c:v>7</c:v>
                </c:pt>
                <c:pt idx="23">
                  <c:v>20</c:v>
                </c:pt>
                <c:pt idx="24">
                  <c:v>6</c:v>
                </c:pt>
                <c:pt idx="25">
                  <c:v>7</c:v>
                </c:pt>
              </c:numCache>
            </c:numRef>
          </c:val>
          <c:extLst>
            <c:ext xmlns:c16="http://schemas.microsoft.com/office/drawing/2014/chart" uri="{C3380CC4-5D6E-409C-BE32-E72D297353CC}">
              <c16:uniqueId val="{00000000-D31A-4F22-B0EA-8BDA1837C729}"/>
            </c:ext>
          </c:extLst>
        </c:ser>
        <c:dLbls>
          <c:showLegendKey val="0"/>
          <c:showVal val="0"/>
          <c:showCatName val="0"/>
          <c:showSerName val="0"/>
          <c:showPercent val="0"/>
          <c:showBubbleSize val="0"/>
        </c:dLbls>
        <c:gapWidth val="219"/>
        <c:overlap val="-27"/>
        <c:axId val="141529056"/>
        <c:axId val="141531936"/>
      </c:barChart>
      <c:catAx>
        <c:axId val="1415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31936"/>
        <c:crosses val="autoZero"/>
        <c:auto val="1"/>
        <c:lblAlgn val="ctr"/>
        <c:lblOffset val="100"/>
        <c:noMultiLvlLbl val="0"/>
      </c:catAx>
      <c:valAx>
        <c:axId val="14153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2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dashboards.xlsx]Category Pivots!PivotTable3</c:name>
    <c:fmtId val="5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Pivots'!$I$3</c:f>
              <c:strCache>
                <c:ptCount val="1"/>
                <c:pt idx="0">
                  <c:v>Total</c:v>
                </c:pt>
              </c:strCache>
            </c:strRef>
          </c:tx>
          <c:spPr>
            <a:solidFill>
              <a:schemeClr val="accent1"/>
            </a:solidFill>
            <a:ln>
              <a:noFill/>
            </a:ln>
            <a:effectLst/>
          </c:spPr>
          <c:invertIfNegative val="0"/>
          <c:cat>
            <c:strRef>
              <c:f>'Category Pivots'!$H$4:$H$17</c:f>
              <c:strCache>
                <c:ptCount val="13"/>
                <c:pt idx="0">
                  <c:v>Barista Espresso</c:v>
                </c:pt>
                <c:pt idx="1">
                  <c:v>Biscotti</c:v>
                </c:pt>
                <c:pt idx="2">
                  <c:v>Brewed Black tea</c:v>
                </c:pt>
                <c:pt idx="3">
                  <c:v>Brewed Chai tea</c:v>
                </c:pt>
                <c:pt idx="4">
                  <c:v>Brewed Green tea</c:v>
                </c:pt>
                <c:pt idx="5">
                  <c:v>Brewed herbal tea</c:v>
                </c:pt>
                <c:pt idx="6">
                  <c:v>Drip coffee</c:v>
                </c:pt>
                <c:pt idx="7">
                  <c:v>Gourmet brewed coffee</c:v>
                </c:pt>
                <c:pt idx="8">
                  <c:v>Hot chocolate</c:v>
                </c:pt>
                <c:pt idx="9">
                  <c:v>Organic brewed coffee</c:v>
                </c:pt>
                <c:pt idx="10">
                  <c:v>Pastry</c:v>
                </c:pt>
                <c:pt idx="11">
                  <c:v>Premium brewed coffee</c:v>
                </c:pt>
                <c:pt idx="12">
                  <c:v>Scone</c:v>
                </c:pt>
              </c:strCache>
            </c:strRef>
          </c:cat>
          <c:val>
            <c:numRef>
              <c:f>'Category Pivots'!$I$4:$I$17</c:f>
              <c:numCache>
                <c:formatCode>General</c:formatCode>
                <c:ptCount val="13"/>
                <c:pt idx="0">
                  <c:v>115</c:v>
                </c:pt>
                <c:pt idx="1">
                  <c:v>32</c:v>
                </c:pt>
                <c:pt idx="2">
                  <c:v>78</c:v>
                </c:pt>
                <c:pt idx="3">
                  <c:v>134</c:v>
                </c:pt>
                <c:pt idx="4">
                  <c:v>48</c:v>
                </c:pt>
                <c:pt idx="5">
                  <c:v>84</c:v>
                </c:pt>
                <c:pt idx="6">
                  <c:v>76</c:v>
                </c:pt>
                <c:pt idx="7">
                  <c:v>116</c:v>
                </c:pt>
                <c:pt idx="8">
                  <c:v>80</c:v>
                </c:pt>
                <c:pt idx="9">
                  <c:v>74</c:v>
                </c:pt>
                <c:pt idx="10">
                  <c:v>37</c:v>
                </c:pt>
                <c:pt idx="11">
                  <c:v>63</c:v>
                </c:pt>
                <c:pt idx="12">
                  <c:v>63</c:v>
                </c:pt>
              </c:numCache>
            </c:numRef>
          </c:val>
          <c:extLst>
            <c:ext xmlns:c16="http://schemas.microsoft.com/office/drawing/2014/chart" uri="{C3380CC4-5D6E-409C-BE32-E72D297353CC}">
              <c16:uniqueId val="{00000000-4E12-473B-9C39-0D48D929D58C}"/>
            </c:ext>
          </c:extLst>
        </c:ser>
        <c:dLbls>
          <c:showLegendKey val="0"/>
          <c:showVal val="0"/>
          <c:showCatName val="0"/>
          <c:showSerName val="0"/>
          <c:showPercent val="0"/>
          <c:showBubbleSize val="0"/>
        </c:dLbls>
        <c:gapWidth val="150"/>
        <c:overlap val="100"/>
        <c:axId val="558582431"/>
        <c:axId val="558584831"/>
      </c:barChart>
      <c:catAx>
        <c:axId val="55858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84831"/>
        <c:crosses val="autoZero"/>
        <c:auto val="1"/>
        <c:lblAlgn val="ctr"/>
        <c:lblOffset val="100"/>
        <c:noMultiLvlLbl val="0"/>
      </c:catAx>
      <c:valAx>
        <c:axId val="55858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8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69504593175852"/>
          <c:y val="0.18220779220779221"/>
          <c:w val="0.8057493985126859"/>
          <c:h val="0.69180386542591266"/>
        </c:manualLayout>
      </c:layout>
      <c:barChart>
        <c:barDir val="col"/>
        <c:grouping val="clustered"/>
        <c:varyColors val="0"/>
        <c:ser>
          <c:idx val="0"/>
          <c:order val="0"/>
          <c:spPr>
            <a:solidFill>
              <a:schemeClr val="accent1"/>
            </a:solidFill>
            <a:ln>
              <a:noFill/>
            </a:ln>
            <a:effectLst/>
          </c:spPr>
          <c:invertIfNegative val="0"/>
          <c:dLbls>
            <c:numFmt formatCode="&quot;R&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Analysis!$A$2:$A$5</c:f>
              <c:strCache>
                <c:ptCount val="4"/>
                <c:pt idx="0">
                  <c:v>Coffee</c:v>
                </c:pt>
                <c:pt idx="1">
                  <c:v>Tea</c:v>
                </c:pt>
                <c:pt idx="2">
                  <c:v>Bakery</c:v>
                </c:pt>
                <c:pt idx="3">
                  <c:v>Drinking Chocolate</c:v>
                </c:pt>
              </c:strCache>
            </c:strRef>
          </c:cat>
          <c:val>
            <c:numRef>
              <c:f>Analysis!$B$2:$B$5</c:f>
              <c:numCache>
                <c:formatCode>"R"#\ ##0.00</c:formatCode>
                <c:ptCount val="4"/>
                <c:pt idx="0">
                  <c:v>2037.5000000000018</c:v>
                </c:pt>
                <c:pt idx="1">
                  <c:v>1421.6999999999996</c:v>
                </c:pt>
                <c:pt idx="2">
                  <c:v>471</c:v>
                </c:pt>
                <c:pt idx="3">
                  <c:v>466</c:v>
                </c:pt>
              </c:numCache>
            </c:numRef>
          </c:val>
          <c:extLst>
            <c:ext xmlns:c16="http://schemas.microsoft.com/office/drawing/2014/chart" uri="{C3380CC4-5D6E-409C-BE32-E72D297353CC}">
              <c16:uniqueId val="{00000000-97B0-44AE-A2B1-7730A8FD8355}"/>
            </c:ext>
          </c:extLst>
        </c:ser>
        <c:dLbls>
          <c:showLegendKey val="0"/>
          <c:showVal val="0"/>
          <c:showCatName val="0"/>
          <c:showSerName val="0"/>
          <c:showPercent val="0"/>
          <c:showBubbleSize val="0"/>
        </c:dLbls>
        <c:gapWidth val="219"/>
        <c:overlap val="-27"/>
        <c:axId val="221516704"/>
        <c:axId val="221517184"/>
      </c:barChart>
      <c:catAx>
        <c:axId val="22151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517184"/>
        <c:crosses val="autoZero"/>
        <c:auto val="1"/>
        <c:lblAlgn val="ctr"/>
        <c:lblOffset val="100"/>
        <c:noMultiLvlLbl val="0"/>
      </c:catAx>
      <c:valAx>
        <c:axId val="221517184"/>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51670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Time of Day</a:t>
            </a:r>
          </a:p>
        </c:rich>
      </c:tx>
      <c:layout>
        <c:manualLayout>
          <c:xMode val="edge"/>
          <c:yMode val="edge"/>
          <c:x val="0.26258462500752594"/>
          <c:y val="2.44798041615667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834938588334463"/>
          <c:y val="0.14956806959717553"/>
          <c:w val="0.8057493985126859"/>
          <c:h val="0.73935814841326652"/>
        </c:manualLayout>
      </c:layout>
      <c:barChart>
        <c:barDir val="col"/>
        <c:grouping val="clustered"/>
        <c:varyColors val="0"/>
        <c:ser>
          <c:idx val="0"/>
          <c:order val="0"/>
          <c:spPr>
            <a:solidFill>
              <a:schemeClr val="accent1"/>
            </a:solidFill>
            <a:ln>
              <a:noFill/>
            </a:ln>
            <a:effectLst/>
          </c:spPr>
          <c:invertIfNegative val="0"/>
          <c:dLbls>
            <c:numFmt formatCode="&quot;R&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Analysis!$M$2:$M$4</c:f>
              <c:strCache>
                <c:ptCount val="3"/>
                <c:pt idx="0">
                  <c:v>Afternoon</c:v>
                </c:pt>
                <c:pt idx="1">
                  <c:v>Morning</c:v>
                </c:pt>
                <c:pt idx="2">
                  <c:v>Evening</c:v>
                </c:pt>
              </c:strCache>
            </c:strRef>
          </c:cat>
          <c:val>
            <c:numRef>
              <c:f>Analysis!$N$2:$N$4</c:f>
              <c:numCache>
                <c:formatCode>"R"#\ ##0.00</c:formatCode>
                <c:ptCount val="3"/>
                <c:pt idx="0">
                  <c:v>2328.2499999999995</c:v>
                </c:pt>
                <c:pt idx="1">
                  <c:v>1350.8000000000004</c:v>
                </c:pt>
                <c:pt idx="2">
                  <c:v>717.15000000000009</c:v>
                </c:pt>
              </c:numCache>
            </c:numRef>
          </c:val>
          <c:extLst>
            <c:ext xmlns:c16="http://schemas.microsoft.com/office/drawing/2014/chart" uri="{C3380CC4-5D6E-409C-BE32-E72D297353CC}">
              <c16:uniqueId val="{00000000-B578-4B96-8976-B881FE0C1698}"/>
            </c:ext>
          </c:extLst>
        </c:ser>
        <c:dLbls>
          <c:showLegendKey val="0"/>
          <c:showVal val="0"/>
          <c:showCatName val="0"/>
          <c:showSerName val="0"/>
          <c:showPercent val="0"/>
          <c:showBubbleSize val="0"/>
        </c:dLbls>
        <c:gapWidth val="219"/>
        <c:overlap val="-27"/>
        <c:axId val="230042112"/>
        <c:axId val="230045472"/>
      </c:barChart>
      <c:catAx>
        <c:axId val="23004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45472"/>
        <c:crosses val="autoZero"/>
        <c:auto val="1"/>
        <c:lblAlgn val="ctr"/>
        <c:lblOffset val="100"/>
        <c:noMultiLvlLbl val="0"/>
      </c:catAx>
      <c:valAx>
        <c:axId val="230045472"/>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4211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Types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numFmt formatCode="&quot;R&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Analysis!$G$2:$G$11</c:f>
              <c:strCache>
                <c:ptCount val="10"/>
                <c:pt idx="0">
                  <c:v>Barista Espresso</c:v>
                </c:pt>
                <c:pt idx="1">
                  <c:v>Brewed Chai tea</c:v>
                </c:pt>
                <c:pt idx="2">
                  <c:v>Gourmet brewed coffee</c:v>
                </c:pt>
                <c:pt idx="3">
                  <c:v>Hot chocolate</c:v>
                </c:pt>
                <c:pt idx="4">
                  <c:v>Brewed herbal tea</c:v>
                </c:pt>
                <c:pt idx="5">
                  <c:v>Organic brewed coffee</c:v>
                </c:pt>
                <c:pt idx="6">
                  <c:v>Brewed Black tea</c:v>
                </c:pt>
                <c:pt idx="7">
                  <c:v>Premium brewed coffee</c:v>
                </c:pt>
                <c:pt idx="8">
                  <c:v>Drip coffee</c:v>
                </c:pt>
                <c:pt idx="9">
                  <c:v>Scone</c:v>
                </c:pt>
              </c:strCache>
            </c:strRef>
          </c:cat>
          <c:val>
            <c:numRef>
              <c:f>Analysis!$H$2:$H$11</c:f>
              <c:numCache>
                <c:formatCode>"R"#\ ##0.00</c:formatCode>
                <c:ptCount val="10"/>
                <c:pt idx="0">
                  <c:v>649.25</c:v>
                </c:pt>
                <c:pt idx="1">
                  <c:v>556.20000000000027</c:v>
                </c:pt>
                <c:pt idx="2">
                  <c:v>487.69999999999987</c:v>
                </c:pt>
                <c:pt idx="3">
                  <c:v>466</c:v>
                </c:pt>
                <c:pt idx="4">
                  <c:v>351.5</c:v>
                </c:pt>
                <c:pt idx="5">
                  <c:v>335.59999999999991</c:v>
                </c:pt>
                <c:pt idx="6">
                  <c:v>318</c:v>
                </c:pt>
                <c:pt idx="7">
                  <c:v>303.44999999999982</c:v>
                </c:pt>
                <c:pt idx="8">
                  <c:v>261.5</c:v>
                </c:pt>
                <c:pt idx="9">
                  <c:v>228.25</c:v>
                </c:pt>
              </c:numCache>
            </c:numRef>
          </c:val>
          <c:extLst>
            <c:ext xmlns:c16="http://schemas.microsoft.com/office/drawing/2014/chart" uri="{C3380CC4-5D6E-409C-BE32-E72D297353CC}">
              <c16:uniqueId val="{00000000-7E4D-4C39-A81B-A342D9853EF3}"/>
            </c:ext>
          </c:extLst>
        </c:ser>
        <c:dLbls>
          <c:showLegendKey val="0"/>
          <c:showVal val="0"/>
          <c:showCatName val="0"/>
          <c:showSerName val="0"/>
          <c:showPercent val="0"/>
          <c:showBubbleSize val="0"/>
        </c:dLbls>
        <c:gapWidth val="182"/>
        <c:axId val="157541424"/>
        <c:axId val="157553904"/>
      </c:barChart>
      <c:catAx>
        <c:axId val="157541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53904"/>
        <c:crosses val="autoZero"/>
        <c:auto val="1"/>
        <c:lblAlgn val="ctr"/>
        <c:lblOffset val="100"/>
        <c:noMultiLvlLbl val="0"/>
      </c:catAx>
      <c:valAx>
        <c:axId val="157553904"/>
        <c:scaling>
          <c:orientation val="minMax"/>
        </c:scaling>
        <c:delete val="0"/>
        <c:axPos val="b"/>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4142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numFmt formatCode="&quot;R&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Analysis!$A$2:$A$5</c:f>
              <c:strCache>
                <c:ptCount val="4"/>
                <c:pt idx="0">
                  <c:v>Coffee</c:v>
                </c:pt>
                <c:pt idx="1">
                  <c:v>Tea</c:v>
                </c:pt>
                <c:pt idx="2">
                  <c:v>Bakery</c:v>
                </c:pt>
                <c:pt idx="3">
                  <c:v>Drinking Chocolate</c:v>
                </c:pt>
              </c:strCache>
            </c:strRef>
          </c:cat>
          <c:val>
            <c:numRef>
              <c:f>Analysis!$B$2:$B$5</c:f>
              <c:numCache>
                <c:formatCode>"R"#\ ##0.00</c:formatCode>
                <c:ptCount val="4"/>
                <c:pt idx="0">
                  <c:v>2037.5000000000018</c:v>
                </c:pt>
                <c:pt idx="1">
                  <c:v>1421.6999999999996</c:v>
                </c:pt>
                <c:pt idx="2">
                  <c:v>471</c:v>
                </c:pt>
                <c:pt idx="3">
                  <c:v>466</c:v>
                </c:pt>
              </c:numCache>
            </c:numRef>
          </c:val>
          <c:extLst>
            <c:ext xmlns:c16="http://schemas.microsoft.com/office/drawing/2014/chart" uri="{C3380CC4-5D6E-409C-BE32-E72D297353CC}">
              <c16:uniqueId val="{00000000-09E5-4DF2-85ED-F1BF1C540A4A}"/>
            </c:ext>
          </c:extLst>
        </c:ser>
        <c:dLbls>
          <c:showLegendKey val="0"/>
          <c:showVal val="0"/>
          <c:showCatName val="0"/>
          <c:showSerName val="0"/>
          <c:showPercent val="0"/>
          <c:showBubbleSize val="0"/>
        </c:dLbls>
        <c:gapWidth val="219"/>
        <c:overlap val="-27"/>
        <c:axId val="224597552"/>
        <c:axId val="224596592"/>
      </c:barChart>
      <c:catAx>
        <c:axId val="2245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96592"/>
        <c:crosses val="autoZero"/>
        <c:auto val="1"/>
        <c:lblAlgn val="ctr"/>
        <c:lblOffset val="100"/>
        <c:noMultiLvlLbl val="0"/>
      </c:catAx>
      <c:valAx>
        <c:axId val="224596592"/>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9755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062447382756401"/>
          <c:y val="0.14292870905587671"/>
          <c:w val="0.83841454959639483"/>
          <c:h val="0.76798355407886154"/>
        </c:manualLayout>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Analysis!$S$2:$S$14</c:f>
              <c:numCache>
                <c:formatCode>General</c:formatCode>
                <c:ptCount val="13"/>
                <c:pt idx="0">
                  <c:v>7</c:v>
                </c:pt>
                <c:pt idx="1">
                  <c:v>8</c:v>
                </c:pt>
                <c:pt idx="2">
                  <c:v>9</c:v>
                </c:pt>
                <c:pt idx="3">
                  <c:v>10</c:v>
                </c:pt>
                <c:pt idx="4">
                  <c:v>11</c:v>
                </c:pt>
                <c:pt idx="5">
                  <c:v>12</c:v>
                </c:pt>
                <c:pt idx="6">
                  <c:v>13</c:v>
                </c:pt>
                <c:pt idx="7">
                  <c:v>14</c:v>
                </c:pt>
                <c:pt idx="8">
                  <c:v>15</c:v>
                </c:pt>
                <c:pt idx="9">
                  <c:v>16</c:v>
                </c:pt>
                <c:pt idx="10">
                  <c:v>17</c:v>
                </c:pt>
                <c:pt idx="11">
                  <c:v>18</c:v>
                </c:pt>
                <c:pt idx="12">
                  <c:v>19</c:v>
                </c:pt>
              </c:numCache>
            </c:numRef>
          </c:cat>
          <c:val>
            <c:numRef>
              <c:f>Analysis!$T$2:$T$14</c:f>
              <c:numCache>
                <c:formatCode>"R"#\ ##0.00</c:formatCode>
                <c:ptCount val="13"/>
                <c:pt idx="0">
                  <c:v>136.14999999999998</c:v>
                </c:pt>
                <c:pt idx="1">
                  <c:v>192.85</c:v>
                </c:pt>
                <c:pt idx="2">
                  <c:v>324.59999999999997</c:v>
                </c:pt>
                <c:pt idx="3">
                  <c:v>222.89999999999998</c:v>
                </c:pt>
                <c:pt idx="4">
                  <c:v>474.29999999999995</c:v>
                </c:pt>
                <c:pt idx="5">
                  <c:v>472.6</c:v>
                </c:pt>
                <c:pt idx="6">
                  <c:v>530.45000000000005</c:v>
                </c:pt>
                <c:pt idx="7">
                  <c:v>457.34999999999997</c:v>
                </c:pt>
                <c:pt idx="8">
                  <c:v>466.5</c:v>
                </c:pt>
                <c:pt idx="9">
                  <c:v>401.34999999999991</c:v>
                </c:pt>
                <c:pt idx="10">
                  <c:v>316.14999999999992</c:v>
                </c:pt>
                <c:pt idx="11">
                  <c:v>231.39999999999998</c:v>
                </c:pt>
                <c:pt idx="12">
                  <c:v>169.6</c:v>
                </c:pt>
              </c:numCache>
            </c:numRef>
          </c:val>
          <c:smooth val="0"/>
          <c:extLst>
            <c:ext xmlns:c16="http://schemas.microsoft.com/office/drawing/2014/chart" uri="{C3380CC4-5D6E-409C-BE32-E72D297353CC}">
              <c16:uniqueId val="{00000000-1468-4A78-ADD0-FF63500B7393}"/>
            </c:ext>
          </c:extLst>
        </c:ser>
        <c:dLbls>
          <c:showLegendKey val="0"/>
          <c:showVal val="0"/>
          <c:showCatName val="0"/>
          <c:showSerName val="0"/>
          <c:showPercent val="0"/>
          <c:showBubbleSize val="0"/>
        </c:dLbls>
        <c:marker val="1"/>
        <c:smooth val="0"/>
        <c:axId val="224614912"/>
        <c:axId val="224623552"/>
      </c:lineChart>
      <c:catAx>
        <c:axId val="22461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23552"/>
        <c:crosses val="autoZero"/>
        <c:auto val="1"/>
        <c:lblAlgn val="ctr"/>
        <c:lblOffset val="100"/>
        <c:noMultiLvlLbl val="0"/>
      </c:catAx>
      <c:valAx>
        <c:axId val="224623552"/>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1491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dashboards.xlsx]Category Pivots!PivotTable2</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434842249657063E-2"/>
          <c:y val="0.15640844836990095"/>
          <c:w val="0.56332876085962502"/>
          <c:h val="0.74026204531551809"/>
        </c:manualLayout>
      </c:layout>
      <c:pie3DChart>
        <c:varyColors val="1"/>
        <c:ser>
          <c:idx val="0"/>
          <c:order val="0"/>
          <c:tx>
            <c:strRef>
              <c:f>'Category Pivots'!$B$11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428-42C5-BED5-BB1E973505C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428-42C5-BED5-BB1E973505C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428-42C5-BED5-BB1E973505C9}"/>
              </c:ext>
            </c:extLst>
          </c:dPt>
          <c:cat>
            <c:strRef>
              <c:f>'Category Pivots'!$A$12:$A$15</c:f>
              <c:strCache>
                <c:ptCount val="3"/>
                <c:pt idx="0">
                  <c:v>Astoria</c:v>
                </c:pt>
                <c:pt idx="1">
                  <c:v>Hell's Kitchen</c:v>
                </c:pt>
                <c:pt idx="2">
                  <c:v>Lower Manhattan</c:v>
                </c:pt>
              </c:strCache>
            </c:strRef>
          </c:cat>
          <c:val>
            <c:numRef>
              <c:f>'Category Pivots'!$B$12:$B$15</c:f>
              <c:numCache>
                <c:formatCode>General</c:formatCode>
                <c:ptCount val="3"/>
                <c:pt idx="0">
                  <c:v>337</c:v>
                </c:pt>
                <c:pt idx="1">
                  <c:v>339</c:v>
                </c:pt>
                <c:pt idx="2">
                  <c:v>324</c:v>
                </c:pt>
              </c:numCache>
            </c:numRef>
          </c:val>
          <c:extLst>
            <c:ext xmlns:c16="http://schemas.microsoft.com/office/drawing/2014/chart" uri="{C3380CC4-5D6E-409C-BE32-E72D297353CC}">
              <c16:uniqueId val="{00000006-9428-42C5-BED5-BB1E973505C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dashboards.xlsx]Category Pivots!PivotTable1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92077020546894"/>
          <c:y val="0.26800759979629413"/>
          <c:w val="0.73997777794151987"/>
          <c:h val="0.44899322286206761"/>
        </c:manualLayout>
      </c:layout>
      <c:barChart>
        <c:barDir val="col"/>
        <c:grouping val="clustered"/>
        <c:varyColors val="0"/>
        <c:ser>
          <c:idx val="0"/>
          <c:order val="0"/>
          <c:tx>
            <c:strRef>
              <c:f>'Category Pivots'!$B$3</c:f>
              <c:strCache>
                <c:ptCount val="1"/>
                <c:pt idx="0">
                  <c:v>Total</c:v>
                </c:pt>
              </c:strCache>
            </c:strRef>
          </c:tx>
          <c:spPr>
            <a:solidFill>
              <a:schemeClr val="accent1"/>
            </a:solidFill>
            <a:ln>
              <a:noFill/>
            </a:ln>
            <a:effectLst/>
          </c:spPr>
          <c:invertIfNegative val="0"/>
          <c:cat>
            <c:strRef>
              <c:f>'Category Pivots'!$A$4:$A$8</c:f>
              <c:strCache>
                <c:ptCount val="4"/>
                <c:pt idx="0">
                  <c:v>Bakery</c:v>
                </c:pt>
                <c:pt idx="1">
                  <c:v>Coffee</c:v>
                </c:pt>
                <c:pt idx="2">
                  <c:v>Drinking Chocolate</c:v>
                </c:pt>
                <c:pt idx="3">
                  <c:v>Tea</c:v>
                </c:pt>
              </c:strCache>
            </c:strRef>
          </c:cat>
          <c:val>
            <c:numRef>
              <c:f>'Category Pivots'!$B$4:$B$8</c:f>
              <c:numCache>
                <c:formatCode>General</c:formatCode>
                <c:ptCount val="4"/>
                <c:pt idx="0">
                  <c:v>132</c:v>
                </c:pt>
                <c:pt idx="1">
                  <c:v>444</c:v>
                </c:pt>
                <c:pt idx="2">
                  <c:v>80</c:v>
                </c:pt>
                <c:pt idx="3">
                  <c:v>344</c:v>
                </c:pt>
              </c:numCache>
            </c:numRef>
          </c:val>
          <c:extLst>
            <c:ext xmlns:c16="http://schemas.microsoft.com/office/drawing/2014/chart" uri="{C3380CC4-5D6E-409C-BE32-E72D297353CC}">
              <c16:uniqueId val="{00000000-AAB8-4345-85B4-5D2F286EF18D}"/>
            </c:ext>
          </c:extLst>
        </c:ser>
        <c:dLbls>
          <c:showLegendKey val="0"/>
          <c:showVal val="0"/>
          <c:showCatName val="0"/>
          <c:showSerName val="0"/>
          <c:showPercent val="0"/>
          <c:showBubbleSize val="0"/>
        </c:dLbls>
        <c:gapWidth val="219"/>
        <c:overlap val="-27"/>
        <c:axId val="132584927"/>
        <c:axId val="132583007"/>
      </c:barChart>
      <c:catAx>
        <c:axId val="13258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83007"/>
        <c:crosses val="autoZero"/>
        <c:auto val="1"/>
        <c:lblAlgn val="ctr"/>
        <c:lblOffset val="100"/>
        <c:noMultiLvlLbl val="0"/>
      </c:catAx>
      <c:valAx>
        <c:axId val="13258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8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dashboards.xlsx]Price Hour Pivots!PivotTable2</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Hour Pivots'!$M$5</c:f>
              <c:strCache>
                <c:ptCount val="1"/>
                <c:pt idx="0">
                  <c:v>Total</c:v>
                </c:pt>
              </c:strCache>
            </c:strRef>
          </c:tx>
          <c:spPr>
            <a:solidFill>
              <a:schemeClr val="accent1"/>
            </a:solidFill>
            <a:ln>
              <a:noFill/>
            </a:ln>
            <a:effectLst/>
          </c:spPr>
          <c:invertIfNegative val="0"/>
          <c:cat>
            <c:strRef>
              <c:f>'Price Hour Pivots'!$L$6:$L$32</c:f>
              <c:strCache>
                <c:ptCount val="26"/>
                <c:pt idx="0">
                  <c:v>2</c:v>
                </c:pt>
                <c:pt idx="1">
                  <c:v>2.2</c:v>
                </c:pt>
                <c:pt idx="2">
                  <c:v>2.45</c:v>
                </c:pt>
                <c:pt idx="3">
                  <c:v>2.5</c:v>
                </c:pt>
                <c:pt idx="4">
                  <c:v>2.55</c:v>
                </c:pt>
                <c:pt idx="5">
                  <c:v>3</c:v>
                </c:pt>
                <c:pt idx="6">
                  <c:v>3.1</c:v>
                </c:pt>
                <c:pt idx="7">
                  <c:v>3.25</c:v>
                </c:pt>
                <c:pt idx="8">
                  <c:v>3.5</c:v>
                </c:pt>
                <c:pt idx="9">
                  <c:v>3.75</c:v>
                </c:pt>
                <c:pt idx="10">
                  <c:v>4</c:v>
                </c:pt>
                <c:pt idx="11">
                  <c:v>4.25</c:v>
                </c:pt>
                <c:pt idx="12">
                  <c:v>4.4</c:v>
                </c:pt>
                <c:pt idx="13">
                  <c:v>4.5</c:v>
                </c:pt>
                <c:pt idx="14">
                  <c:v>4.75</c:v>
                </c:pt>
                <c:pt idx="15">
                  <c:v>4.9</c:v>
                </c:pt>
                <c:pt idx="16">
                  <c:v>5</c:v>
                </c:pt>
                <c:pt idx="17">
                  <c:v>5.1</c:v>
                </c:pt>
                <c:pt idx="18">
                  <c:v>6</c:v>
                </c:pt>
                <c:pt idx="19">
                  <c:v>6.2</c:v>
                </c:pt>
                <c:pt idx="20">
                  <c:v>7</c:v>
                </c:pt>
                <c:pt idx="21">
                  <c:v>7.5</c:v>
                </c:pt>
                <c:pt idx="22">
                  <c:v>8</c:v>
                </c:pt>
                <c:pt idx="23">
                  <c:v>8.5</c:v>
                </c:pt>
                <c:pt idx="24">
                  <c:v>9</c:v>
                </c:pt>
                <c:pt idx="25">
                  <c:v>9.5</c:v>
                </c:pt>
              </c:strCache>
            </c:strRef>
          </c:cat>
          <c:val>
            <c:numRef>
              <c:f>'Price Hour Pivots'!$M$6:$M$32</c:f>
              <c:numCache>
                <c:formatCode>General</c:formatCode>
                <c:ptCount val="26"/>
                <c:pt idx="0">
                  <c:v>23</c:v>
                </c:pt>
                <c:pt idx="1">
                  <c:v>14</c:v>
                </c:pt>
                <c:pt idx="2">
                  <c:v>7</c:v>
                </c:pt>
                <c:pt idx="3">
                  <c:v>106</c:v>
                </c:pt>
                <c:pt idx="4">
                  <c:v>12</c:v>
                </c:pt>
                <c:pt idx="5">
                  <c:v>132</c:v>
                </c:pt>
                <c:pt idx="6">
                  <c:v>23</c:v>
                </c:pt>
                <c:pt idx="7">
                  <c:v>35</c:v>
                </c:pt>
                <c:pt idx="8">
                  <c:v>62</c:v>
                </c:pt>
                <c:pt idx="9">
                  <c:v>86</c:v>
                </c:pt>
                <c:pt idx="10">
                  <c:v>38</c:v>
                </c:pt>
                <c:pt idx="11">
                  <c:v>18</c:v>
                </c:pt>
                <c:pt idx="12">
                  <c:v>30</c:v>
                </c:pt>
                <c:pt idx="13">
                  <c:v>24</c:v>
                </c:pt>
                <c:pt idx="14">
                  <c:v>14</c:v>
                </c:pt>
                <c:pt idx="15">
                  <c:v>12</c:v>
                </c:pt>
                <c:pt idx="16">
                  <c:v>96</c:v>
                </c:pt>
                <c:pt idx="17">
                  <c:v>9</c:v>
                </c:pt>
                <c:pt idx="18">
                  <c:v>128</c:v>
                </c:pt>
                <c:pt idx="19">
                  <c:v>12</c:v>
                </c:pt>
                <c:pt idx="20">
                  <c:v>30</c:v>
                </c:pt>
                <c:pt idx="21">
                  <c:v>49</c:v>
                </c:pt>
                <c:pt idx="22">
                  <c:v>7</c:v>
                </c:pt>
                <c:pt idx="23">
                  <c:v>20</c:v>
                </c:pt>
                <c:pt idx="24">
                  <c:v>6</c:v>
                </c:pt>
                <c:pt idx="25">
                  <c:v>7</c:v>
                </c:pt>
              </c:numCache>
            </c:numRef>
          </c:val>
          <c:extLst>
            <c:ext xmlns:c16="http://schemas.microsoft.com/office/drawing/2014/chart" uri="{C3380CC4-5D6E-409C-BE32-E72D297353CC}">
              <c16:uniqueId val="{00000000-8088-449C-83D8-795810CFF39F}"/>
            </c:ext>
          </c:extLst>
        </c:ser>
        <c:dLbls>
          <c:showLegendKey val="0"/>
          <c:showVal val="0"/>
          <c:showCatName val="0"/>
          <c:showSerName val="0"/>
          <c:showPercent val="0"/>
          <c:showBubbleSize val="0"/>
        </c:dLbls>
        <c:gapWidth val="219"/>
        <c:overlap val="-27"/>
        <c:axId val="141529056"/>
        <c:axId val="141531936"/>
      </c:barChart>
      <c:catAx>
        <c:axId val="1415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31936"/>
        <c:crosses val="autoZero"/>
        <c:auto val="1"/>
        <c:lblAlgn val="ctr"/>
        <c:lblOffset val="100"/>
        <c:noMultiLvlLbl val="0"/>
      </c:catAx>
      <c:valAx>
        <c:axId val="14153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2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dashboards.xlsx]Category Pivots!PivotTable3</c:name>
    <c:fmtId val="5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Pivots'!$I$3</c:f>
              <c:strCache>
                <c:ptCount val="1"/>
                <c:pt idx="0">
                  <c:v>Total</c:v>
                </c:pt>
              </c:strCache>
            </c:strRef>
          </c:tx>
          <c:spPr>
            <a:solidFill>
              <a:schemeClr val="accent1"/>
            </a:solidFill>
            <a:ln>
              <a:noFill/>
            </a:ln>
            <a:effectLst/>
          </c:spPr>
          <c:invertIfNegative val="0"/>
          <c:cat>
            <c:strRef>
              <c:f>'Category Pivots'!$H$4:$H$17</c:f>
              <c:strCache>
                <c:ptCount val="13"/>
                <c:pt idx="0">
                  <c:v>Barista Espresso</c:v>
                </c:pt>
                <c:pt idx="1">
                  <c:v>Biscotti</c:v>
                </c:pt>
                <c:pt idx="2">
                  <c:v>Brewed Black tea</c:v>
                </c:pt>
                <c:pt idx="3">
                  <c:v>Brewed Chai tea</c:v>
                </c:pt>
                <c:pt idx="4">
                  <c:v>Brewed Green tea</c:v>
                </c:pt>
                <c:pt idx="5">
                  <c:v>Brewed herbal tea</c:v>
                </c:pt>
                <c:pt idx="6">
                  <c:v>Drip coffee</c:v>
                </c:pt>
                <c:pt idx="7">
                  <c:v>Gourmet brewed coffee</c:v>
                </c:pt>
                <c:pt idx="8">
                  <c:v>Hot chocolate</c:v>
                </c:pt>
                <c:pt idx="9">
                  <c:v>Organic brewed coffee</c:v>
                </c:pt>
                <c:pt idx="10">
                  <c:v>Pastry</c:v>
                </c:pt>
                <c:pt idx="11">
                  <c:v>Premium brewed coffee</c:v>
                </c:pt>
                <c:pt idx="12">
                  <c:v>Scone</c:v>
                </c:pt>
              </c:strCache>
            </c:strRef>
          </c:cat>
          <c:val>
            <c:numRef>
              <c:f>'Category Pivots'!$I$4:$I$17</c:f>
              <c:numCache>
                <c:formatCode>General</c:formatCode>
                <c:ptCount val="13"/>
                <c:pt idx="0">
                  <c:v>115</c:v>
                </c:pt>
                <c:pt idx="1">
                  <c:v>32</c:v>
                </c:pt>
                <c:pt idx="2">
                  <c:v>78</c:v>
                </c:pt>
                <c:pt idx="3">
                  <c:v>134</c:v>
                </c:pt>
                <c:pt idx="4">
                  <c:v>48</c:v>
                </c:pt>
                <c:pt idx="5">
                  <c:v>84</c:v>
                </c:pt>
                <c:pt idx="6">
                  <c:v>76</c:v>
                </c:pt>
                <c:pt idx="7">
                  <c:v>116</c:v>
                </c:pt>
                <c:pt idx="8">
                  <c:v>80</c:v>
                </c:pt>
                <c:pt idx="9">
                  <c:v>74</c:v>
                </c:pt>
                <c:pt idx="10">
                  <c:v>37</c:v>
                </c:pt>
                <c:pt idx="11">
                  <c:v>63</c:v>
                </c:pt>
                <c:pt idx="12">
                  <c:v>63</c:v>
                </c:pt>
              </c:numCache>
            </c:numRef>
          </c:val>
          <c:extLst>
            <c:ext xmlns:c16="http://schemas.microsoft.com/office/drawing/2014/chart" uri="{C3380CC4-5D6E-409C-BE32-E72D297353CC}">
              <c16:uniqueId val="{00000000-67AC-44D2-B7A5-0F79DB237988}"/>
            </c:ext>
          </c:extLst>
        </c:ser>
        <c:dLbls>
          <c:showLegendKey val="0"/>
          <c:showVal val="0"/>
          <c:showCatName val="0"/>
          <c:showSerName val="0"/>
          <c:showPercent val="0"/>
          <c:showBubbleSize val="0"/>
        </c:dLbls>
        <c:gapWidth val="150"/>
        <c:overlap val="100"/>
        <c:axId val="558582431"/>
        <c:axId val="558584831"/>
      </c:barChart>
      <c:catAx>
        <c:axId val="55858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84831"/>
        <c:crosses val="autoZero"/>
        <c:auto val="1"/>
        <c:lblAlgn val="ctr"/>
        <c:lblOffset val="100"/>
        <c:noMultiLvlLbl val="0"/>
      </c:catAx>
      <c:valAx>
        <c:axId val="55858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8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69504593175852"/>
          <c:y val="0.18220779220779221"/>
          <c:w val="0.8057493985126859"/>
          <c:h val="0.69180386542591266"/>
        </c:manualLayout>
      </c:layout>
      <c:barChart>
        <c:barDir val="col"/>
        <c:grouping val="clustered"/>
        <c:varyColors val="0"/>
        <c:ser>
          <c:idx val="0"/>
          <c:order val="0"/>
          <c:spPr>
            <a:solidFill>
              <a:schemeClr val="accent1"/>
            </a:solidFill>
            <a:ln>
              <a:noFill/>
            </a:ln>
            <a:effectLst/>
          </c:spPr>
          <c:invertIfNegative val="0"/>
          <c:dLbls>
            <c:numFmt formatCode="&quot;R&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Analysis!$A$2:$A$5</c:f>
              <c:strCache>
                <c:ptCount val="4"/>
                <c:pt idx="0">
                  <c:v>Coffee</c:v>
                </c:pt>
                <c:pt idx="1">
                  <c:v>Tea</c:v>
                </c:pt>
                <c:pt idx="2">
                  <c:v>Bakery</c:v>
                </c:pt>
                <c:pt idx="3">
                  <c:v>Drinking Chocolate</c:v>
                </c:pt>
              </c:strCache>
            </c:strRef>
          </c:cat>
          <c:val>
            <c:numRef>
              <c:f>Analysis!$B$2:$B$5</c:f>
              <c:numCache>
                <c:formatCode>"R"#\ ##0.00</c:formatCode>
                <c:ptCount val="4"/>
                <c:pt idx="0">
                  <c:v>2037.5000000000018</c:v>
                </c:pt>
                <c:pt idx="1">
                  <c:v>1421.6999999999996</c:v>
                </c:pt>
                <c:pt idx="2">
                  <c:v>471</c:v>
                </c:pt>
                <c:pt idx="3">
                  <c:v>466</c:v>
                </c:pt>
              </c:numCache>
            </c:numRef>
          </c:val>
          <c:extLst>
            <c:ext xmlns:c16="http://schemas.microsoft.com/office/drawing/2014/chart" uri="{C3380CC4-5D6E-409C-BE32-E72D297353CC}">
              <c16:uniqueId val="{00000000-3D52-40B3-B3B6-5E26EB486620}"/>
            </c:ext>
          </c:extLst>
        </c:ser>
        <c:dLbls>
          <c:showLegendKey val="0"/>
          <c:showVal val="0"/>
          <c:showCatName val="0"/>
          <c:showSerName val="0"/>
          <c:showPercent val="0"/>
          <c:showBubbleSize val="0"/>
        </c:dLbls>
        <c:gapWidth val="219"/>
        <c:overlap val="-27"/>
        <c:axId val="221516704"/>
        <c:axId val="221517184"/>
      </c:barChart>
      <c:catAx>
        <c:axId val="22151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517184"/>
        <c:crosses val="autoZero"/>
        <c:auto val="1"/>
        <c:lblAlgn val="ctr"/>
        <c:lblOffset val="100"/>
        <c:noMultiLvlLbl val="0"/>
      </c:catAx>
      <c:valAx>
        <c:axId val="221517184"/>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51670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Time of Day</a:t>
            </a:r>
          </a:p>
        </c:rich>
      </c:tx>
      <c:layout>
        <c:manualLayout>
          <c:xMode val="edge"/>
          <c:yMode val="edge"/>
          <c:x val="0.26258462500752594"/>
          <c:y val="2.44798041615667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834938588334463"/>
          <c:y val="0.14956806959717553"/>
          <c:w val="0.8057493985126859"/>
          <c:h val="0.73935814841326652"/>
        </c:manualLayout>
      </c:layout>
      <c:barChart>
        <c:barDir val="col"/>
        <c:grouping val="clustered"/>
        <c:varyColors val="0"/>
        <c:ser>
          <c:idx val="0"/>
          <c:order val="0"/>
          <c:spPr>
            <a:solidFill>
              <a:schemeClr val="accent1"/>
            </a:solidFill>
            <a:ln>
              <a:noFill/>
            </a:ln>
            <a:effectLst/>
          </c:spPr>
          <c:invertIfNegative val="0"/>
          <c:dLbls>
            <c:numFmt formatCode="&quot;R&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Analysis!$M$2:$M$4</c:f>
              <c:strCache>
                <c:ptCount val="3"/>
                <c:pt idx="0">
                  <c:v>Afternoon</c:v>
                </c:pt>
                <c:pt idx="1">
                  <c:v>Morning</c:v>
                </c:pt>
                <c:pt idx="2">
                  <c:v>Evening</c:v>
                </c:pt>
              </c:strCache>
            </c:strRef>
          </c:cat>
          <c:val>
            <c:numRef>
              <c:f>Analysis!$N$2:$N$4</c:f>
              <c:numCache>
                <c:formatCode>"R"#\ ##0.00</c:formatCode>
                <c:ptCount val="3"/>
                <c:pt idx="0">
                  <c:v>2328.2499999999995</c:v>
                </c:pt>
                <c:pt idx="1">
                  <c:v>1350.8000000000004</c:v>
                </c:pt>
                <c:pt idx="2">
                  <c:v>717.15000000000009</c:v>
                </c:pt>
              </c:numCache>
            </c:numRef>
          </c:val>
          <c:extLst>
            <c:ext xmlns:c16="http://schemas.microsoft.com/office/drawing/2014/chart" uri="{C3380CC4-5D6E-409C-BE32-E72D297353CC}">
              <c16:uniqueId val="{00000000-6662-4FBD-8DD4-91CD4F080730}"/>
            </c:ext>
          </c:extLst>
        </c:ser>
        <c:dLbls>
          <c:showLegendKey val="0"/>
          <c:showVal val="0"/>
          <c:showCatName val="0"/>
          <c:showSerName val="0"/>
          <c:showPercent val="0"/>
          <c:showBubbleSize val="0"/>
        </c:dLbls>
        <c:gapWidth val="219"/>
        <c:overlap val="-27"/>
        <c:axId val="230042112"/>
        <c:axId val="230045472"/>
      </c:barChart>
      <c:catAx>
        <c:axId val="23004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45472"/>
        <c:crosses val="autoZero"/>
        <c:auto val="1"/>
        <c:lblAlgn val="ctr"/>
        <c:lblOffset val="100"/>
        <c:noMultiLvlLbl val="0"/>
      </c:catAx>
      <c:valAx>
        <c:axId val="230045472"/>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4211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Types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numFmt formatCode="&quot;R&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Analysis!$G$2:$G$11</c:f>
              <c:strCache>
                <c:ptCount val="10"/>
                <c:pt idx="0">
                  <c:v>Barista Espresso</c:v>
                </c:pt>
                <c:pt idx="1">
                  <c:v>Brewed Chai tea</c:v>
                </c:pt>
                <c:pt idx="2">
                  <c:v>Gourmet brewed coffee</c:v>
                </c:pt>
                <c:pt idx="3">
                  <c:v>Hot chocolate</c:v>
                </c:pt>
                <c:pt idx="4">
                  <c:v>Brewed herbal tea</c:v>
                </c:pt>
                <c:pt idx="5">
                  <c:v>Organic brewed coffee</c:v>
                </c:pt>
                <c:pt idx="6">
                  <c:v>Brewed Black tea</c:v>
                </c:pt>
                <c:pt idx="7">
                  <c:v>Premium brewed coffee</c:v>
                </c:pt>
                <c:pt idx="8">
                  <c:v>Drip coffee</c:v>
                </c:pt>
                <c:pt idx="9">
                  <c:v>Scone</c:v>
                </c:pt>
              </c:strCache>
            </c:strRef>
          </c:cat>
          <c:val>
            <c:numRef>
              <c:f>Analysis!$H$2:$H$11</c:f>
              <c:numCache>
                <c:formatCode>"R"#\ ##0.00</c:formatCode>
                <c:ptCount val="10"/>
                <c:pt idx="0">
                  <c:v>649.25</c:v>
                </c:pt>
                <c:pt idx="1">
                  <c:v>556.20000000000027</c:v>
                </c:pt>
                <c:pt idx="2">
                  <c:v>487.69999999999987</c:v>
                </c:pt>
                <c:pt idx="3">
                  <c:v>466</c:v>
                </c:pt>
                <c:pt idx="4">
                  <c:v>351.5</c:v>
                </c:pt>
                <c:pt idx="5">
                  <c:v>335.59999999999991</c:v>
                </c:pt>
                <c:pt idx="6">
                  <c:v>318</c:v>
                </c:pt>
                <c:pt idx="7">
                  <c:v>303.44999999999982</c:v>
                </c:pt>
                <c:pt idx="8">
                  <c:v>261.5</c:v>
                </c:pt>
                <c:pt idx="9">
                  <c:v>228.25</c:v>
                </c:pt>
              </c:numCache>
            </c:numRef>
          </c:val>
          <c:extLst>
            <c:ext xmlns:c16="http://schemas.microsoft.com/office/drawing/2014/chart" uri="{C3380CC4-5D6E-409C-BE32-E72D297353CC}">
              <c16:uniqueId val="{00000000-8575-425E-A024-44952B0CB961}"/>
            </c:ext>
          </c:extLst>
        </c:ser>
        <c:dLbls>
          <c:showLegendKey val="0"/>
          <c:showVal val="0"/>
          <c:showCatName val="0"/>
          <c:showSerName val="0"/>
          <c:showPercent val="0"/>
          <c:showBubbleSize val="0"/>
        </c:dLbls>
        <c:gapWidth val="182"/>
        <c:axId val="157541424"/>
        <c:axId val="157553904"/>
      </c:barChart>
      <c:catAx>
        <c:axId val="157541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53904"/>
        <c:crosses val="autoZero"/>
        <c:auto val="1"/>
        <c:lblAlgn val="ctr"/>
        <c:lblOffset val="100"/>
        <c:noMultiLvlLbl val="0"/>
      </c:catAx>
      <c:valAx>
        <c:axId val="157553904"/>
        <c:scaling>
          <c:orientation val="minMax"/>
        </c:scaling>
        <c:delete val="0"/>
        <c:axPos val="b"/>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4142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numFmt formatCode="&quot;R&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Analysis!$A$2:$A$5</c:f>
              <c:strCache>
                <c:ptCount val="4"/>
                <c:pt idx="0">
                  <c:v>Coffee</c:v>
                </c:pt>
                <c:pt idx="1">
                  <c:v>Tea</c:v>
                </c:pt>
                <c:pt idx="2">
                  <c:v>Bakery</c:v>
                </c:pt>
                <c:pt idx="3">
                  <c:v>Drinking Chocolate</c:v>
                </c:pt>
              </c:strCache>
            </c:strRef>
          </c:cat>
          <c:val>
            <c:numRef>
              <c:f>Analysis!$B$2:$B$5</c:f>
              <c:numCache>
                <c:formatCode>"R"#\ ##0.00</c:formatCode>
                <c:ptCount val="4"/>
                <c:pt idx="0">
                  <c:v>2037.5000000000018</c:v>
                </c:pt>
                <c:pt idx="1">
                  <c:v>1421.6999999999996</c:v>
                </c:pt>
                <c:pt idx="2">
                  <c:v>471</c:v>
                </c:pt>
                <c:pt idx="3">
                  <c:v>466</c:v>
                </c:pt>
              </c:numCache>
            </c:numRef>
          </c:val>
          <c:extLst>
            <c:ext xmlns:c16="http://schemas.microsoft.com/office/drawing/2014/chart" uri="{C3380CC4-5D6E-409C-BE32-E72D297353CC}">
              <c16:uniqueId val="{00000000-7719-47D4-96E2-88DACC76C740}"/>
            </c:ext>
          </c:extLst>
        </c:ser>
        <c:dLbls>
          <c:showLegendKey val="0"/>
          <c:showVal val="0"/>
          <c:showCatName val="0"/>
          <c:showSerName val="0"/>
          <c:showPercent val="0"/>
          <c:showBubbleSize val="0"/>
        </c:dLbls>
        <c:gapWidth val="219"/>
        <c:overlap val="-27"/>
        <c:axId val="224597552"/>
        <c:axId val="224596592"/>
      </c:barChart>
      <c:catAx>
        <c:axId val="2245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96592"/>
        <c:crosses val="autoZero"/>
        <c:auto val="1"/>
        <c:lblAlgn val="ctr"/>
        <c:lblOffset val="100"/>
        <c:noMultiLvlLbl val="0"/>
      </c:catAx>
      <c:valAx>
        <c:axId val="224596592"/>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9755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062447382756401"/>
          <c:y val="0.14292870905587671"/>
          <c:w val="0.83841454959639483"/>
          <c:h val="0.76798355407886154"/>
        </c:manualLayout>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Analysis!$S$2:$S$14</c:f>
              <c:numCache>
                <c:formatCode>General</c:formatCode>
                <c:ptCount val="13"/>
                <c:pt idx="0">
                  <c:v>7</c:v>
                </c:pt>
                <c:pt idx="1">
                  <c:v>8</c:v>
                </c:pt>
                <c:pt idx="2">
                  <c:v>9</c:v>
                </c:pt>
                <c:pt idx="3">
                  <c:v>10</c:v>
                </c:pt>
                <c:pt idx="4">
                  <c:v>11</c:v>
                </c:pt>
                <c:pt idx="5">
                  <c:v>12</c:v>
                </c:pt>
                <c:pt idx="6">
                  <c:v>13</c:v>
                </c:pt>
                <c:pt idx="7">
                  <c:v>14</c:v>
                </c:pt>
                <c:pt idx="8">
                  <c:v>15</c:v>
                </c:pt>
                <c:pt idx="9">
                  <c:v>16</c:v>
                </c:pt>
                <c:pt idx="10">
                  <c:v>17</c:v>
                </c:pt>
                <c:pt idx="11">
                  <c:v>18</c:v>
                </c:pt>
                <c:pt idx="12">
                  <c:v>19</c:v>
                </c:pt>
              </c:numCache>
            </c:numRef>
          </c:cat>
          <c:val>
            <c:numRef>
              <c:f>Analysis!$T$2:$T$14</c:f>
              <c:numCache>
                <c:formatCode>"R"#\ ##0.00</c:formatCode>
                <c:ptCount val="13"/>
                <c:pt idx="0">
                  <c:v>136.14999999999998</c:v>
                </c:pt>
                <c:pt idx="1">
                  <c:v>192.85</c:v>
                </c:pt>
                <c:pt idx="2">
                  <c:v>324.59999999999997</c:v>
                </c:pt>
                <c:pt idx="3">
                  <c:v>222.89999999999998</c:v>
                </c:pt>
                <c:pt idx="4">
                  <c:v>474.29999999999995</c:v>
                </c:pt>
                <c:pt idx="5">
                  <c:v>472.6</c:v>
                </c:pt>
                <c:pt idx="6">
                  <c:v>530.45000000000005</c:v>
                </c:pt>
                <c:pt idx="7">
                  <c:v>457.34999999999997</c:v>
                </c:pt>
                <c:pt idx="8">
                  <c:v>466.5</c:v>
                </c:pt>
                <c:pt idx="9">
                  <c:v>401.34999999999991</c:v>
                </c:pt>
                <c:pt idx="10">
                  <c:v>316.14999999999992</c:v>
                </c:pt>
                <c:pt idx="11">
                  <c:v>231.39999999999998</c:v>
                </c:pt>
                <c:pt idx="12">
                  <c:v>169.6</c:v>
                </c:pt>
              </c:numCache>
            </c:numRef>
          </c:val>
          <c:smooth val="0"/>
          <c:extLst>
            <c:ext xmlns:c16="http://schemas.microsoft.com/office/drawing/2014/chart" uri="{C3380CC4-5D6E-409C-BE32-E72D297353CC}">
              <c16:uniqueId val="{00000000-1836-4BA8-BE06-D7FB356225B2}"/>
            </c:ext>
          </c:extLst>
        </c:ser>
        <c:dLbls>
          <c:showLegendKey val="0"/>
          <c:showVal val="0"/>
          <c:showCatName val="0"/>
          <c:showSerName val="0"/>
          <c:showPercent val="0"/>
          <c:showBubbleSize val="0"/>
        </c:dLbls>
        <c:marker val="1"/>
        <c:smooth val="0"/>
        <c:axId val="224614912"/>
        <c:axId val="224623552"/>
      </c:lineChart>
      <c:catAx>
        <c:axId val="22461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23552"/>
        <c:crosses val="autoZero"/>
        <c:auto val="1"/>
        <c:lblAlgn val="ctr"/>
        <c:lblOffset val="100"/>
        <c:noMultiLvlLbl val="0"/>
      </c:catAx>
      <c:valAx>
        <c:axId val="224623552"/>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1491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coffee excel dashboards.xlsx]Category Pivots!PivotTable2</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434842249657063E-2"/>
          <c:y val="0.15640844836990095"/>
          <c:w val="0.56332876085962502"/>
          <c:h val="0.74026204531551809"/>
        </c:manualLayout>
      </c:layout>
      <c:pie3DChart>
        <c:varyColors val="1"/>
        <c:ser>
          <c:idx val="0"/>
          <c:order val="0"/>
          <c:tx>
            <c:strRef>
              <c:f>'Category Pivots'!$B$11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E06-4617-8DE5-A29A8E8D4EF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E06-4617-8DE5-A29A8E8D4EF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E06-4617-8DE5-A29A8E8D4EFC}"/>
              </c:ext>
            </c:extLst>
          </c:dPt>
          <c:cat>
            <c:strRef>
              <c:f>'Category Pivots'!$A$12:$A$15</c:f>
              <c:strCache>
                <c:ptCount val="3"/>
                <c:pt idx="0">
                  <c:v>Astoria</c:v>
                </c:pt>
                <c:pt idx="1">
                  <c:v>Hell's Kitchen</c:v>
                </c:pt>
                <c:pt idx="2">
                  <c:v>Lower Manhattan</c:v>
                </c:pt>
              </c:strCache>
            </c:strRef>
          </c:cat>
          <c:val>
            <c:numRef>
              <c:f>'Category Pivots'!$B$12:$B$15</c:f>
              <c:numCache>
                <c:formatCode>General</c:formatCode>
                <c:ptCount val="3"/>
                <c:pt idx="0">
                  <c:v>337</c:v>
                </c:pt>
                <c:pt idx="1">
                  <c:v>339</c:v>
                </c:pt>
                <c:pt idx="2">
                  <c:v>324</c:v>
                </c:pt>
              </c:numCache>
            </c:numRef>
          </c:val>
          <c:extLst>
            <c:ext xmlns:c16="http://schemas.microsoft.com/office/drawing/2014/chart" uri="{C3380CC4-5D6E-409C-BE32-E72D297353CC}">
              <c16:uniqueId val="{00000006-CE06-4617-8DE5-A29A8E8D4EF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647282370953631"/>
          <c:y val="0.11468623240276782"/>
          <c:w val="0.8057493985126859"/>
          <c:h val="0.69180386542591266"/>
        </c:manualLayout>
      </c:layout>
      <c:barChart>
        <c:barDir val="col"/>
        <c:grouping val="clustered"/>
        <c:varyColors val="0"/>
        <c:ser>
          <c:idx val="0"/>
          <c:order val="0"/>
          <c:spPr>
            <a:solidFill>
              <a:schemeClr val="accent1"/>
            </a:solidFill>
            <a:ln>
              <a:noFill/>
            </a:ln>
            <a:effectLst/>
          </c:spPr>
          <c:invertIfNegative val="0"/>
          <c:dLbls>
            <c:numFmt formatCode="&quot;R&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Analysis!$A$2:$A$5</c:f>
              <c:strCache>
                <c:ptCount val="4"/>
                <c:pt idx="0">
                  <c:v>Coffee</c:v>
                </c:pt>
                <c:pt idx="1">
                  <c:v>Tea</c:v>
                </c:pt>
                <c:pt idx="2">
                  <c:v>Bakery</c:v>
                </c:pt>
                <c:pt idx="3">
                  <c:v>Drinking Chocolate</c:v>
                </c:pt>
              </c:strCache>
            </c:strRef>
          </c:cat>
          <c:val>
            <c:numRef>
              <c:f>Analysis!$B$2:$B$5</c:f>
              <c:numCache>
                <c:formatCode>"R"#\ ##0.00</c:formatCode>
                <c:ptCount val="4"/>
                <c:pt idx="0">
                  <c:v>2037.5000000000018</c:v>
                </c:pt>
                <c:pt idx="1">
                  <c:v>1421.6999999999996</c:v>
                </c:pt>
                <c:pt idx="2">
                  <c:v>471</c:v>
                </c:pt>
                <c:pt idx="3">
                  <c:v>466</c:v>
                </c:pt>
              </c:numCache>
            </c:numRef>
          </c:val>
          <c:extLst>
            <c:ext xmlns:c16="http://schemas.microsoft.com/office/drawing/2014/chart" uri="{C3380CC4-5D6E-409C-BE32-E72D297353CC}">
              <c16:uniqueId val="{00000000-EE04-4C53-A011-7FC0D21C2091}"/>
            </c:ext>
          </c:extLst>
        </c:ser>
        <c:dLbls>
          <c:showLegendKey val="0"/>
          <c:showVal val="0"/>
          <c:showCatName val="0"/>
          <c:showSerName val="0"/>
          <c:showPercent val="0"/>
          <c:showBubbleSize val="0"/>
        </c:dLbls>
        <c:gapWidth val="219"/>
        <c:overlap val="-27"/>
        <c:axId val="221516704"/>
        <c:axId val="221517184"/>
      </c:barChart>
      <c:catAx>
        <c:axId val="22151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517184"/>
        <c:crosses val="autoZero"/>
        <c:auto val="1"/>
        <c:lblAlgn val="ctr"/>
        <c:lblOffset val="100"/>
        <c:noMultiLvlLbl val="0"/>
      </c:catAx>
      <c:valAx>
        <c:axId val="221517184"/>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51670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numFmt formatCode="&quot;R&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Analysis!$M$2:$M$4</c:f>
              <c:strCache>
                <c:ptCount val="3"/>
                <c:pt idx="0">
                  <c:v>Afternoon</c:v>
                </c:pt>
                <c:pt idx="1">
                  <c:v>Morning</c:v>
                </c:pt>
                <c:pt idx="2">
                  <c:v>Evening</c:v>
                </c:pt>
              </c:strCache>
            </c:strRef>
          </c:cat>
          <c:val>
            <c:numRef>
              <c:f>Analysis!$N$2:$N$4</c:f>
              <c:numCache>
                <c:formatCode>"R"#\ ##0.00</c:formatCode>
                <c:ptCount val="3"/>
                <c:pt idx="0">
                  <c:v>2328.2499999999995</c:v>
                </c:pt>
                <c:pt idx="1">
                  <c:v>1350.8000000000004</c:v>
                </c:pt>
                <c:pt idx="2">
                  <c:v>717.15000000000009</c:v>
                </c:pt>
              </c:numCache>
            </c:numRef>
          </c:val>
          <c:extLst>
            <c:ext xmlns:c16="http://schemas.microsoft.com/office/drawing/2014/chart" uri="{C3380CC4-5D6E-409C-BE32-E72D297353CC}">
              <c16:uniqueId val="{00000000-6662-4FBD-8DD4-91CD4F080730}"/>
            </c:ext>
          </c:extLst>
        </c:ser>
        <c:dLbls>
          <c:showLegendKey val="0"/>
          <c:showVal val="0"/>
          <c:showCatName val="0"/>
          <c:showSerName val="0"/>
          <c:showPercent val="0"/>
          <c:showBubbleSize val="0"/>
        </c:dLbls>
        <c:gapWidth val="219"/>
        <c:overlap val="-27"/>
        <c:axId val="230042112"/>
        <c:axId val="230045472"/>
      </c:barChart>
      <c:catAx>
        <c:axId val="23004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45472"/>
        <c:crosses val="autoZero"/>
        <c:auto val="1"/>
        <c:lblAlgn val="ctr"/>
        <c:lblOffset val="100"/>
        <c:noMultiLvlLbl val="0"/>
      </c:catAx>
      <c:valAx>
        <c:axId val="230045472"/>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4211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Types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numFmt formatCode="&quot;R&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Analysis!$G$2:$G$11</c:f>
              <c:strCache>
                <c:ptCount val="10"/>
                <c:pt idx="0">
                  <c:v>Barista Espresso</c:v>
                </c:pt>
                <c:pt idx="1">
                  <c:v>Brewed Chai tea</c:v>
                </c:pt>
                <c:pt idx="2">
                  <c:v>Gourmet brewed coffee</c:v>
                </c:pt>
                <c:pt idx="3">
                  <c:v>Hot chocolate</c:v>
                </c:pt>
                <c:pt idx="4">
                  <c:v>Brewed herbal tea</c:v>
                </c:pt>
                <c:pt idx="5">
                  <c:v>Organic brewed coffee</c:v>
                </c:pt>
                <c:pt idx="6">
                  <c:v>Brewed Black tea</c:v>
                </c:pt>
                <c:pt idx="7">
                  <c:v>Premium brewed coffee</c:v>
                </c:pt>
                <c:pt idx="8">
                  <c:v>Drip coffee</c:v>
                </c:pt>
                <c:pt idx="9">
                  <c:v>Scone</c:v>
                </c:pt>
              </c:strCache>
            </c:strRef>
          </c:cat>
          <c:val>
            <c:numRef>
              <c:f>Analysis!$H$2:$H$11</c:f>
              <c:numCache>
                <c:formatCode>"R"#\ ##0.00</c:formatCode>
                <c:ptCount val="10"/>
                <c:pt idx="0">
                  <c:v>649.25</c:v>
                </c:pt>
                <c:pt idx="1">
                  <c:v>556.20000000000027</c:v>
                </c:pt>
                <c:pt idx="2">
                  <c:v>487.69999999999987</c:v>
                </c:pt>
                <c:pt idx="3">
                  <c:v>466</c:v>
                </c:pt>
                <c:pt idx="4">
                  <c:v>351.5</c:v>
                </c:pt>
                <c:pt idx="5">
                  <c:v>335.59999999999991</c:v>
                </c:pt>
                <c:pt idx="6">
                  <c:v>318</c:v>
                </c:pt>
                <c:pt idx="7">
                  <c:v>303.44999999999982</c:v>
                </c:pt>
                <c:pt idx="8">
                  <c:v>261.5</c:v>
                </c:pt>
                <c:pt idx="9">
                  <c:v>228.25</c:v>
                </c:pt>
              </c:numCache>
            </c:numRef>
          </c:val>
          <c:extLst>
            <c:ext xmlns:c16="http://schemas.microsoft.com/office/drawing/2014/chart" uri="{C3380CC4-5D6E-409C-BE32-E72D297353CC}">
              <c16:uniqueId val="{00000000-1A49-4112-AD62-A06F8352CC41}"/>
            </c:ext>
          </c:extLst>
        </c:ser>
        <c:dLbls>
          <c:showLegendKey val="0"/>
          <c:showVal val="0"/>
          <c:showCatName val="0"/>
          <c:showSerName val="0"/>
          <c:showPercent val="0"/>
          <c:showBubbleSize val="0"/>
        </c:dLbls>
        <c:gapWidth val="182"/>
        <c:axId val="157541424"/>
        <c:axId val="157553904"/>
      </c:barChart>
      <c:catAx>
        <c:axId val="157541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53904"/>
        <c:crosses val="autoZero"/>
        <c:auto val="1"/>
        <c:lblAlgn val="ctr"/>
        <c:lblOffset val="100"/>
        <c:noMultiLvlLbl val="0"/>
      </c:catAx>
      <c:valAx>
        <c:axId val="157553904"/>
        <c:scaling>
          <c:orientation val="minMax"/>
        </c:scaling>
        <c:delete val="0"/>
        <c:axPos val="b"/>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4142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numFmt formatCode="&quot;R&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Analysis!$A$2:$A$5</c:f>
              <c:strCache>
                <c:ptCount val="4"/>
                <c:pt idx="0">
                  <c:v>Coffee</c:v>
                </c:pt>
                <c:pt idx="1">
                  <c:v>Tea</c:v>
                </c:pt>
                <c:pt idx="2">
                  <c:v>Bakery</c:v>
                </c:pt>
                <c:pt idx="3">
                  <c:v>Drinking Chocolate</c:v>
                </c:pt>
              </c:strCache>
            </c:strRef>
          </c:cat>
          <c:val>
            <c:numRef>
              <c:f>Analysis!$B$2:$B$5</c:f>
              <c:numCache>
                <c:formatCode>"R"#\ ##0.00</c:formatCode>
                <c:ptCount val="4"/>
                <c:pt idx="0">
                  <c:v>2037.5000000000018</c:v>
                </c:pt>
                <c:pt idx="1">
                  <c:v>1421.6999999999996</c:v>
                </c:pt>
                <c:pt idx="2">
                  <c:v>471</c:v>
                </c:pt>
                <c:pt idx="3">
                  <c:v>466</c:v>
                </c:pt>
              </c:numCache>
            </c:numRef>
          </c:val>
          <c:extLst>
            <c:ext xmlns:c16="http://schemas.microsoft.com/office/drawing/2014/chart" uri="{C3380CC4-5D6E-409C-BE32-E72D297353CC}">
              <c16:uniqueId val="{00000000-773E-44F7-AB36-27D86025B7CA}"/>
            </c:ext>
          </c:extLst>
        </c:ser>
        <c:dLbls>
          <c:showLegendKey val="0"/>
          <c:showVal val="0"/>
          <c:showCatName val="0"/>
          <c:showSerName val="0"/>
          <c:showPercent val="0"/>
          <c:showBubbleSize val="0"/>
        </c:dLbls>
        <c:gapWidth val="219"/>
        <c:overlap val="-27"/>
        <c:axId val="224597552"/>
        <c:axId val="224596592"/>
      </c:barChart>
      <c:catAx>
        <c:axId val="2245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96592"/>
        <c:crosses val="autoZero"/>
        <c:auto val="1"/>
        <c:lblAlgn val="ctr"/>
        <c:lblOffset val="100"/>
        <c:noMultiLvlLbl val="0"/>
      </c:catAx>
      <c:valAx>
        <c:axId val="224596592"/>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9755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Analysis!$S$2:$S$14</c:f>
              <c:numCache>
                <c:formatCode>General</c:formatCode>
                <c:ptCount val="13"/>
                <c:pt idx="0">
                  <c:v>7</c:v>
                </c:pt>
                <c:pt idx="1">
                  <c:v>8</c:v>
                </c:pt>
                <c:pt idx="2">
                  <c:v>9</c:v>
                </c:pt>
                <c:pt idx="3">
                  <c:v>10</c:v>
                </c:pt>
                <c:pt idx="4">
                  <c:v>11</c:v>
                </c:pt>
                <c:pt idx="5">
                  <c:v>12</c:v>
                </c:pt>
                <c:pt idx="6">
                  <c:v>13</c:v>
                </c:pt>
                <c:pt idx="7">
                  <c:v>14</c:v>
                </c:pt>
                <c:pt idx="8">
                  <c:v>15</c:v>
                </c:pt>
                <c:pt idx="9">
                  <c:v>16</c:v>
                </c:pt>
                <c:pt idx="10">
                  <c:v>17</c:v>
                </c:pt>
                <c:pt idx="11">
                  <c:v>18</c:v>
                </c:pt>
                <c:pt idx="12">
                  <c:v>19</c:v>
                </c:pt>
              </c:numCache>
            </c:numRef>
          </c:cat>
          <c:val>
            <c:numRef>
              <c:f>Analysis!$T$2:$T$14</c:f>
              <c:numCache>
                <c:formatCode>"R"#\ ##0.00</c:formatCode>
                <c:ptCount val="13"/>
                <c:pt idx="0">
                  <c:v>136.14999999999998</c:v>
                </c:pt>
                <c:pt idx="1">
                  <c:v>192.85</c:v>
                </c:pt>
                <c:pt idx="2">
                  <c:v>324.59999999999997</c:v>
                </c:pt>
                <c:pt idx="3">
                  <c:v>222.89999999999998</c:v>
                </c:pt>
                <c:pt idx="4">
                  <c:v>474.29999999999995</c:v>
                </c:pt>
                <c:pt idx="5">
                  <c:v>472.6</c:v>
                </c:pt>
                <c:pt idx="6">
                  <c:v>530.45000000000005</c:v>
                </c:pt>
                <c:pt idx="7">
                  <c:v>457.34999999999997</c:v>
                </c:pt>
                <c:pt idx="8">
                  <c:v>466.5</c:v>
                </c:pt>
                <c:pt idx="9">
                  <c:v>401.34999999999991</c:v>
                </c:pt>
                <c:pt idx="10">
                  <c:v>316.14999999999992</c:v>
                </c:pt>
                <c:pt idx="11">
                  <c:v>231.39999999999998</c:v>
                </c:pt>
                <c:pt idx="12">
                  <c:v>169.6</c:v>
                </c:pt>
              </c:numCache>
            </c:numRef>
          </c:val>
          <c:smooth val="0"/>
          <c:extLst>
            <c:ext xmlns:c16="http://schemas.microsoft.com/office/drawing/2014/chart" uri="{C3380CC4-5D6E-409C-BE32-E72D297353CC}">
              <c16:uniqueId val="{00000000-E846-49E5-B772-CD3DBD58CF8D}"/>
            </c:ext>
          </c:extLst>
        </c:ser>
        <c:dLbls>
          <c:showLegendKey val="0"/>
          <c:showVal val="0"/>
          <c:showCatName val="0"/>
          <c:showSerName val="0"/>
          <c:showPercent val="0"/>
          <c:showBubbleSize val="0"/>
        </c:dLbls>
        <c:marker val="1"/>
        <c:smooth val="0"/>
        <c:axId val="224614912"/>
        <c:axId val="224623552"/>
      </c:lineChart>
      <c:catAx>
        <c:axId val="22461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23552"/>
        <c:crosses val="autoZero"/>
        <c:auto val="1"/>
        <c:lblAlgn val="ctr"/>
        <c:lblOffset val="100"/>
        <c:noMultiLvlLbl val="0"/>
      </c:catAx>
      <c:valAx>
        <c:axId val="224623552"/>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1491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Analysis!$AE$2:$AE$3</c:f>
              <c:numCache>
                <c:formatCode>General</c:formatCode>
                <c:ptCount val="2"/>
                <c:pt idx="0">
                  <c:v>1</c:v>
                </c:pt>
                <c:pt idx="1">
                  <c:v>2</c:v>
                </c:pt>
              </c:numCache>
            </c:numRef>
          </c:cat>
          <c:val>
            <c:numRef>
              <c:f>Analysis!$AF$2:$AF$3</c:f>
              <c:numCache>
                <c:formatCode>"R"#\ ##0.00</c:formatCode>
                <c:ptCount val="2"/>
                <c:pt idx="0">
                  <c:v>2508.2000000000007</c:v>
                </c:pt>
                <c:pt idx="1">
                  <c:v>1888.0000000000009</c:v>
                </c:pt>
              </c:numCache>
            </c:numRef>
          </c:val>
          <c:extLst>
            <c:ext xmlns:c16="http://schemas.microsoft.com/office/drawing/2014/chart" uri="{C3380CC4-5D6E-409C-BE32-E72D297353CC}">
              <c16:uniqueId val="{00000000-4E9F-4BBC-826A-8DBEABAB09B4}"/>
            </c:ext>
          </c:extLst>
        </c:ser>
        <c:dLbls>
          <c:showLegendKey val="0"/>
          <c:showVal val="0"/>
          <c:showCatName val="0"/>
          <c:showSerName val="0"/>
          <c:showPercent val="0"/>
          <c:showBubbleSize val="0"/>
        </c:dLbls>
        <c:gapWidth val="219"/>
        <c:overlap val="-27"/>
        <c:axId val="276851632"/>
        <c:axId val="276861712"/>
      </c:barChart>
      <c:catAx>
        <c:axId val="27685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861712"/>
        <c:crosses val="autoZero"/>
        <c:auto val="1"/>
        <c:lblAlgn val="ctr"/>
        <c:lblOffset val="100"/>
        <c:noMultiLvlLbl val="0"/>
      </c:catAx>
      <c:valAx>
        <c:axId val="276861712"/>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85163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Types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numFmt formatCode="\R#.##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Analysis!$G$2:$G$11</c:f>
              <c:strCache>
                <c:ptCount val="10"/>
                <c:pt idx="0">
                  <c:v>Barista Espresso</c:v>
                </c:pt>
                <c:pt idx="1">
                  <c:v>Brewed Chai tea</c:v>
                </c:pt>
                <c:pt idx="2">
                  <c:v>Gourmet brewed coffee</c:v>
                </c:pt>
                <c:pt idx="3">
                  <c:v>Hot chocolate</c:v>
                </c:pt>
                <c:pt idx="4">
                  <c:v>Brewed herbal tea</c:v>
                </c:pt>
                <c:pt idx="5">
                  <c:v>Organic brewed coffee</c:v>
                </c:pt>
                <c:pt idx="6">
                  <c:v>Brewed Black tea</c:v>
                </c:pt>
                <c:pt idx="7">
                  <c:v>Premium brewed coffee</c:v>
                </c:pt>
                <c:pt idx="8">
                  <c:v>Drip coffee</c:v>
                </c:pt>
                <c:pt idx="9">
                  <c:v>Scone</c:v>
                </c:pt>
              </c:strCache>
            </c:strRef>
          </c:cat>
          <c:val>
            <c:numRef>
              <c:f>Analysis!$H$2:$H$11</c:f>
              <c:numCache>
                <c:formatCode>"R"#\ ##0.00</c:formatCode>
                <c:ptCount val="10"/>
                <c:pt idx="0">
                  <c:v>649.25</c:v>
                </c:pt>
                <c:pt idx="1">
                  <c:v>556.20000000000027</c:v>
                </c:pt>
                <c:pt idx="2">
                  <c:v>487.69999999999987</c:v>
                </c:pt>
                <c:pt idx="3">
                  <c:v>466</c:v>
                </c:pt>
                <c:pt idx="4">
                  <c:v>351.5</c:v>
                </c:pt>
                <c:pt idx="5">
                  <c:v>335.59999999999991</c:v>
                </c:pt>
                <c:pt idx="6">
                  <c:v>318</c:v>
                </c:pt>
                <c:pt idx="7">
                  <c:v>303.44999999999982</c:v>
                </c:pt>
                <c:pt idx="8">
                  <c:v>261.5</c:v>
                </c:pt>
                <c:pt idx="9">
                  <c:v>228.25</c:v>
                </c:pt>
              </c:numCache>
            </c:numRef>
          </c:val>
          <c:extLst>
            <c:ext xmlns:c16="http://schemas.microsoft.com/office/drawing/2014/chart" uri="{C3380CC4-5D6E-409C-BE32-E72D297353CC}">
              <c16:uniqueId val="{00000000-E580-4830-8FF0-9B788D80EBD6}"/>
            </c:ext>
          </c:extLst>
        </c:ser>
        <c:dLbls>
          <c:showLegendKey val="0"/>
          <c:showVal val="0"/>
          <c:showCatName val="0"/>
          <c:showSerName val="0"/>
          <c:showPercent val="0"/>
          <c:showBubbleSize val="0"/>
        </c:dLbls>
        <c:gapWidth val="182"/>
        <c:axId val="444759455"/>
        <c:axId val="444751775"/>
      </c:barChart>
      <c:catAx>
        <c:axId val="44475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751775"/>
        <c:crosses val="autoZero"/>
        <c:auto val="1"/>
        <c:lblAlgn val="ctr"/>
        <c:lblOffset val="100"/>
        <c:noMultiLvlLbl val="0"/>
      </c:catAx>
      <c:valAx>
        <c:axId val="444751775"/>
        <c:scaling>
          <c:orientation val="minMax"/>
        </c:scaling>
        <c:delete val="0"/>
        <c:axPos val="b"/>
        <c:majorGridlines>
          <c:spPr>
            <a:ln w="9525" cap="flat" cmpd="sng" algn="ctr">
              <a:solidFill>
                <a:schemeClr val="tx1">
                  <a:lumMod val="15000"/>
                  <a:lumOff val="85000"/>
                </a:schemeClr>
              </a:solidFill>
              <a:round/>
            </a:ln>
            <a:effectLst/>
          </c:spPr>
        </c:majorGridlines>
        <c:numFmt formatCode="\R#.##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759455"/>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numFmt formatCode="\R#.##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Analysis!$A$2:$A$5</c:f>
              <c:strCache>
                <c:ptCount val="4"/>
                <c:pt idx="0">
                  <c:v>Coffee</c:v>
                </c:pt>
                <c:pt idx="1">
                  <c:v>Tea</c:v>
                </c:pt>
                <c:pt idx="2">
                  <c:v>Bakery</c:v>
                </c:pt>
                <c:pt idx="3">
                  <c:v>Drinking Chocolate</c:v>
                </c:pt>
              </c:strCache>
            </c:strRef>
          </c:cat>
          <c:val>
            <c:numRef>
              <c:f>Analysis!$B$2:$B$5</c:f>
              <c:numCache>
                <c:formatCode>"R"#\ ##0.00</c:formatCode>
                <c:ptCount val="4"/>
                <c:pt idx="0">
                  <c:v>2037.5000000000018</c:v>
                </c:pt>
                <c:pt idx="1">
                  <c:v>1421.6999999999996</c:v>
                </c:pt>
                <c:pt idx="2">
                  <c:v>471</c:v>
                </c:pt>
                <c:pt idx="3">
                  <c:v>466</c:v>
                </c:pt>
              </c:numCache>
            </c:numRef>
          </c:val>
          <c:extLst>
            <c:ext xmlns:c16="http://schemas.microsoft.com/office/drawing/2014/chart" uri="{C3380CC4-5D6E-409C-BE32-E72D297353CC}">
              <c16:uniqueId val="{00000000-C447-4162-829E-D96ACB5EDD11}"/>
            </c:ext>
          </c:extLst>
        </c:ser>
        <c:dLbls>
          <c:showLegendKey val="0"/>
          <c:showVal val="0"/>
          <c:showCatName val="0"/>
          <c:showSerName val="0"/>
          <c:showPercent val="0"/>
          <c:showBubbleSize val="0"/>
        </c:dLbls>
        <c:gapWidth val="219"/>
        <c:overlap val="-27"/>
        <c:axId val="444757535"/>
        <c:axId val="444748415"/>
      </c:barChart>
      <c:catAx>
        <c:axId val="44475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748415"/>
        <c:crosses val="autoZero"/>
        <c:auto val="1"/>
        <c:lblAlgn val="ctr"/>
        <c:lblOffset val="100"/>
        <c:noMultiLvlLbl val="0"/>
      </c:catAx>
      <c:valAx>
        <c:axId val="444748415"/>
        <c:scaling>
          <c:orientation val="minMax"/>
        </c:scaling>
        <c:delete val="0"/>
        <c:axPos val="l"/>
        <c:majorGridlines>
          <c:spPr>
            <a:ln w="9525" cap="flat" cmpd="sng" algn="ctr">
              <a:solidFill>
                <a:schemeClr val="tx1">
                  <a:lumMod val="15000"/>
                  <a:lumOff val="85000"/>
                </a:schemeClr>
              </a:solidFill>
              <a:round/>
            </a:ln>
            <a:effectLst/>
          </c:spPr>
        </c:majorGridlines>
        <c:numFmt formatCode="\R#.##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757535"/>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numFmt formatCode="\R#.##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Analysis!$M$2:$M$4</c:f>
              <c:strCache>
                <c:ptCount val="3"/>
                <c:pt idx="0">
                  <c:v>Afternoon</c:v>
                </c:pt>
                <c:pt idx="1">
                  <c:v>Morning</c:v>
                </c:pt>
                <c:pt idx="2">
                  <c:v>Evening</c:v>
                </c:pt>
              </c:strCache>
            </c:strRef>
          </c:cat>
          <c:val>
            <c:numRef>
              <c:f>Analysis!$N$2:$N$4</c:f>
              <c:numCache>
                <c:formatCode>"R"#\ ##0.00</c:formatCode>
                <c:ptCount val="3"/>
                <c:pt idx="0">
                  <c:v>2328.2499999999995</c:v>
                </c:pt>
                <c:pt idx="1">
                  <c:v>1350.8000000000004</c:v>
                </c:pt>
                <c:pt idx="2">
                  <c:v>717.15000000000009</c:v>
                </c:pt>
              </c:numCache>
            </c:numRef>
          </c:val>
          <c:extLst>
            <c:ext xmlns:c16="http://schemas.microsoft.com/office/drawing/2014/chart" uri="{C3380CC4-5D6E-409C-BE32-E72D297353CC}">
              <c16:uniqueId val="{00000000-7401-4B04-BAA0-F32A2F2FA34A}"/>
            </c:ext>
          </c:extLst>
        </c:ser>
        <c:dLbls>
          <c:showLegendKey val="0"/>
          <c:showVal val="0"/>
          <c:showCatName val="0"/>
          <c:showSerName val="0"/>
          <c:showPercent val="0"/>
          <c:showBubbleSize val="0"/>
        </c:dLbls>
        <c:gapWidth val="219"/>
        <c:overlap val="-27"/>
        <c:axId val="28678160"/>
        <c:axId val="28681040"/>
      </c:barChart>
      <c:catAx>
        <c:axId val="2867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81040"/>
        <c:crosses val="autoZero"/>
        <c:auto val="1"/>
        <c:lblAlgn val="ctr"/>
        <c:lblOffset val="100"/>
        <c:noMultiLvlLbl val="0"/>
      </c:catAx>
      <c:valAx>
        <c:axId val="28681040"/>
        <c:scaling>
          <c:orientation val="minMax"/>
        </c:scaling>
        <c:delete val="0"/>
        <c:axPos val="l"/>
        <c:majorGridlines>
          <c:spPr>
            <a:ln w="9525" cap="flat" cmpd="sng" algn="ctr">
              <a:solidFill>
                <a:schemeClr val="tx1">
                  <a:lumMod val="15000"/>
                  <a:lumOff val="85000"/>
                </a:schemeClr>
              </a:solidFill>
              <a:round/>
            </a:ln>
            <a:effectLst/>
          </c:spPr>
        </c:majorGridlines>
        <c:numFmt formatCode="\R#.##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78160"/>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Analysis!$S$2:$S$14</c:f>
              <c:numCache>
                <c:formatCode>General</c:formatCode>
                <c:ptCount val="13"/>
                <c:pt idx="0">
                  <c:v>7</c:v>
                </c:pt>
                <c:pt idx="1">
                  <c:v>8</c:v>
                </c:pt>
                <c:pt idx="2">
                  <c:v>9</c:v>
                </c:pt>
                <c:pt idx="3">
                  <c:v>10</c:v>
                </c:pt>
                <c:pt idx="4">
                  <c:v>11</c:v>
                </c:pt>
                <c:pt idx="5">
                  <c:v>12</c:v>
                </c:pt>
                <c:pt idx="6">
                  <c:v>13</c:v>
                </c:pt>
                <c:pt idx="7">
                  <c:v>14</c:v>
                </c:pt>
                <c:pt idx="8">
                  <c:v>15</c:v>
                </c:pt>
                <c:pt idx="9">
                  <c:v>16</c:v>
                </c:pt>
                <c:pt idx="10">
                  <c:v>17</c:v>
                </c:pt>
                <c:pt idx="11">
                  <c:v>18</c:v>
                </c:pt>
                <c:pt idx="12">
                  <c:v>19</c:v>
                </c:pt>
              </c:numCache>
            </c:numRef>
          </c:cat>
          <c:val>
            <c:numRef>
              <c:f>Analysis!$T$2:$T$14</c:f>
              <c:numCache>
                <c:formatCode>"R"#\ ##0.00</c:formatCode>
                <c:ptCount val="13"/>
                <c:pt idx="0">
                  <c:v>136.14999999999998</c:v>
                </c:pt>
                <c:pt idx="1">
                  <c:v>192.85</c:v>
                </c:pt>
                <c:pt idx="2">
                  <c:v>324.59999999999997</c:v>
                </c:pt>
                <c:pt idx="3">
                  <c:v>222.89999999999998</c:v>
                </c:pt>
                <c:pt idx="4">
                  <c:v>474.29999999999995</c:v>
                </c:pt>
                <c:pt idx="5">
                  <c:v>472.6</c:v>
                </c:pt>
                <c:pt idx="6">
                  <c:v>530.45000000000005</c:v>
                </c:pt>
                <c:pt idx="7">
                  <c:v>457.34999999999997</c:v>
                </c:pt>
                <c:pt idx="8">
                  <c:v>466.5</c:v>
                </c:pt>
                <c:pt idx="9">
                  <c:v>401.34999999999991</c:v>
                </c:pt>
                <c:pt idx="10">
                  <c:v>316.14999999999992</c:v>
                </c:pt>
                <c:pt idx="11">
                  <c:v>231.39999999999998</c:v>
                </c:pt>
                <c:pt idx="12">
                  <c:v>169.6</c:v>
                </c:pt>
              </c:numCache>
            </c:numRef>
          </c:val>
          <c:smooth val="0"/>
          <c:extLst>
            <c:ext xmlns:c16="http://schemas.microsoft.com/office/drawing/2014/chart" uri="{C3380CC4-5D6E-409C-BE32-E72D297353CC}">
              <c16:uniqueId val="{00000000-E264-4A36-8CD3-04E36AF0D330}"/>
            </c:ext>
          </c:extLst>
        </c:ser>
        <c:dLbls>
          <c:showLegendKey val="0"/>
          <c:showVal val="0"/>
          <c:showCatName val="0"/>
          <c:showSerName val="0"/>
          <c:showPercent val="0"/>
          <c:showBubbleSize val="0"/>
        </c:dLbls>
        <c:marker val="1"/>
        <c:smooth val="0"/>
        <c:axId val="229960640"/>
        <c:axId val="229962080"/>
      </c:lineChart>
      <c:catAx>
        <c:axId val="22996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962080"/>
        <c:crosses val="autoZero"/>
        <c:auto val="1"/>
        <c:lblAlgn val="ctr"/>
        <c:lblOffset val="100"/>
        <c:noMultiLvlLbl val="0"/>
      </c:catAx>
      <c:valAx>
        <c:axId val="229962080"/>
        <c:scaling>
          <c:orientation val="minMax"/>
        </c:scaling>
        <c:delete val="0"/>
        <c:axPos val="l"/>
        <c:majorGridlines>
          <c:spPr>
            <a:ln w="9525" cap="flat" cmpd="sng" algn="ctr">
              <a:solidFill>
                <a:schemeClr val="tx1">
                  <a:lumMod val="15000"/>
                  <a:lumOff val="85000"/>
                </a:schemeClr>
              </a:solidFill>
              <a:round/>
            </a:ln>
            <a:effectLst/>
          </c:spPr>
        </c:majorGridlines>
        <c:numFmt formatCode="\R#.##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960640"/>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Revenue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Analysis!$AR$1</c:f>
              <c:strCache>
                <c:ptCount val="1"/>
                <c:pt idx="0">
                  <c:v>Morning</c:v>
                </c:pt>
              </c:strCache>
            </c:strRef>
          </c:tx>
          <c:spPr>
            <a:solidFill>
              <a:schemeClr val="accent1"/>
            </a:solidFill>
            <a:ln>
              <a:noFill/>
            </a:ln>
            <a:effectLst/>
          </c:spPr>
          <c:invertIfNegative val="0"/>
          <c:cat>
            <c:strRef>
              <c:f>Analysis!$AQ$2:$AQ$5</c:f>
              <c:strCache>
                <c:ptCount val="4"/>
                <c:pt idx="0">
                  <c:v>Coffee</c:v>
                </c:pt>
                <c:pt idx="1">
                  <c:v>Tea</c:v>
                </c:pt>
                <c:pt idx="2">
                  <c:v>Bakery</c:v>
                </c:pt>
                <c:pt idx="3">
                  <c:v>Drinking Chocolate</c:v>
                </c:pt>
              </c:strCache>
            </c:strRef>
          </c:cat>
          <c:val>
            <c:numRef>
              <c:f>Analysis!$AR$2:$AR$5</c:f>
              <c:numCache>
                <c:formatCode>\R#\ ##0.00</c:formatCode>
                <c:ptCount val="4"/>
                <c:pt idx="0">
                  <c:v>610.19999999999993</c:v>
                </c:pt>
                <c:pt idx="1">
                  <c:v>408.35</c:v>
                </c:pt>
                <c:pt idx="2">
                  <c:v>158.5</c:v>
                </c:pt>
                <c:pt idx="3">
                  <c:v>173.75</c:v>
                </c:pt>
              </c:numCache>
            </c:numRef>
          </c:val>
          <c:extLst>
            <c:ext xmlns:c16="http://schemas.microsoft.com/office/drawing/2014/chart" uri="{C3380CC4-5D6E-409C-BE32-E72D297353CC}">
              <c16:uniqueId val="{00000000-D203-4471-95D0-D93C5B61824F}"/>
            </c:ext>
          </c:extLst>
        </c:ser>
        <c:ser>
          <c:idx val="1"/>
          <c:order val="1"/>
          <c:tx>
            <c:strRef>
              <c:f>Analysis!$AS$1</c:f>
              <c:strCache>
                <c:ptCount val="1"/>
                <c:pt idx="0">
                  <c:v>Afternoon</c:v>
                </c:pt>
              </c:strCache>
            </c:strRef>
          </c:tx>
          <c:spPr>
            <a:solidFill>
              <a:schemeClr val="accent2"/>
            </a:solidFill>
            <a:ln>
              <a:noFill/>
            </a:ln>
            <a:effectLst/>
          </c:spPr>
          <c:invertIfNegative val="0"/>
          <c:cat>
            <c:strRef>
              <c:f>Analysis!$AQ$2:$AQ$5</c:f>
              <c:strCache>
                <c:ptCount val="4"/>
                <c:pt idx="0">
                  <c:v>Coffee</c:v>
                </c:pt>
                <c:pt idx="1">
                  <c:v>Tea</c:v>
                </c:pt>
                <c:pt idx="2">
                  <c:v>Bakery</c:v>
                </c:pt>
                <c:pt idx="3">
                  <c:v>Drinking Chocolate</c:v>
                </c:pt>
              </c:strCache>
            </c:strRef>
          </c:cat>
          <c:val>
            <c:numRef>
              <c:f>Analysis!$AS$2:$AS$5</c:f>
              <c:numCache>
                <c:formatCode>\R#\ ##0.00</c:formatCode>
                <c:ptCount val="4"/>
                <c:pt idx="0">
                  <c:v>1118.8500000000004</c:v>
                </c:pt>
                <c:pt idx="1">
                  <c:v>766.65000000000009</c:v>
                </c:pt>
                <c:pt idx="2">
                  <c:v>245.25</c:v>
                </c:pt>
                <c:pt idx="3">
                  <c:v>197.5</c:v>
                </c:pt>
              </c:numCache>
            </c:numRef>
          </c:val>
          <c:extLst>
            <c:ext xmlns:c16="http://schemas.microsoft.com/office/drawing/2014/chart" uri="{C3380CC4-5D6E-409C-BE32-E72D297353CC}">
              <c16:uniqueId val="{00000001-D203-4471-95D0-D93C5B61824F}"/>
            </c:ext>
          </c:extLst>
        </c:ser>
        <c:ser>
          <c:idx val="2"/>
          <c:order val="2"/>
          <c:tx>
            <c:strRef>
              <c:f>Analysis!$AT$1</c:f>
              <c:strCache>
                <c:ptCount val="1"/>
                <c:pt idx="0">
                  <c:v>Evening</c:v>
                </c:pt>
              </c:strCache>
            </c:strRef>
          </c:tx>
          <c:spPr>
            <a:solidFill>
              <a:schemeClr val="accent3"/>
            </a:solidFill>
            <a:ln>
              <a:noFill/>
            </a:ln>
            <a:effectLst/>
          </c:spPr>
          <c:invertIfNegative val="0"/>
          <c:cat>
            <c:strRef>
              <c:f>Analysis!$AQ$2:$AQ$5</c:f>
              <c:strCache>
                <c:ptCount val="4"/>
                <c:pt idx="0">
                  <c:v>Coffee</c:v>
                </c:pt>
                <c:pt idx="1">
                  <c:v>Tea</c:v>
                </c:pt>
                <c:pt idx="2">
                  <c:v>Bakery</c:v>
                </c:pt>
                <c:pt idx="3">
                  <c:v>Drinking Chocolate</c:v>
                </c:pt>
              </c:strCache>
            </c:strRef>
          </c:cat>
          <c:val>
            <c:numRef>
              <c:f>Analysis!$AT$2:$AT$5</c:f>
              <c:numCache>
                <c:formatCode>\R#\ ##0.00</c:formatCode>
                <c:ptCount val="4"/>
                <c:pt idx="0">
                  <c:v>308.45</c:v>
                </c:pt>
                <c:pt idx="1">
                  <c:v>246.7</c:v>
                </c:pt>
                <c:pt idx="2">
                  <c:v>67.25</c:v>
                </c:pt>
                <c:pt idx="3">
                  <c:v>94.75</c:v>
                </c:pt>
              </c:numCache>
            </c:numRef>
          </c:val>
          <c:extLst>
            <c:ext xmlns:c16="http://schemas.microsoft.com/office/drawing/2014/chart" uri="{C3380CC4-5D6E-409C-BE32-E72D297353CC}">
              <c16:uniqueId val="{00000002-D203-4471-95D0-D93C5B61824F}"/>
            </c:ext>
          </c:extLst>
        </c:ser>
        <c:dLbls>
          <c:showLegendKey val="0"/>
          <c:showVal val="0"/>
          <c:showCatName val="0"/>
          <c:showSerName val="0"/>
          <c:showPercent val="0"/>
          <c:showBubbleSize val="0"/>
        </c:dLbls>
        <c:gapWidth val="150"/>
        <c:overlap val="100"/>
        <c:axId val="182181792"/>
        <c:axId val="182166432"/>
      </c:barChart>
      <c:catAx>
        <c:axId val="18218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66432"/>
        <c:crosses val="autoZero"/>
        <c:auto val="1"/>
        <c:lblAlgn val="ctr"/>
        <c:lblOffset val="100"/>
        <c:noMultiLvlLbl val="0"/>
      </c:catAx>
      <c:valAx>
        <c:axId val="182166432"/>
        <c:scaling>
          <c:orientation val="minMax"/>
        </c:scaling>
        <c:delete val="0"/>
        <c:axPos val="l"/>
        <c:majorGridlines>
          <c:spPr>
            <a:ln w="9525" cap="flat" cmpd="sng" algn="ctr">
              <a:solidFill>
                <a:schemeClr val="tx1">
                  <a:lumMod val="15000"/>
                  <a:lumOff val="85000"/>
                </a:schemeClr>
              </a:solidFill>
              <a:round/>
            </a:ln>
            <a:effectLst/>
          </c:spPr>
        </c:majorGridlines>
        <c:numFmt formatCode="\R#.##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81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chart" Target="../charts/chart2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6.xml"/></Relationships>
</file>

<file path=xl/drawings/drawing1.xml><?xml version="1.0" encoding="utf-8"?>
<xdr:wsDr xmlns:xdr="http://schemas.openxmlformats.org/drawingml/2006/spreadsheetDrawing" xmlns:a="http://schemas.openxmlformats.org/drawingml/2006/main">
  <xdr:twoCellAnchor>
    <xdr:from>
      <xdr:col>2</xdr:col>
      <xdr:colOff>230505</xdr:colOff>
      <xdr:row>0</xdr:row>
      <xdr:rowOff>0</xdr:rowOff>
    </xdr:from>
    <xdr:to>
      <xdr:col>5</xdr:col>
      <xdr:colOff>520700</xdr:colOff>
      <xdr:row>6</xdr:row>
      <xdr:rowOff>158750</xdr:rowOff>
    </xdr:to>
    <xdr:graphicFrame macro="">
      <xdr:nvGraphicFramePr>
        <xdr:cNvPr id="17" name="Chart 16">
          <a:extLst>
            <a:ext uri="{FF2B5EF4-FFF2-40B4-BE49-F238E27FC236}">
              <a16:creationId xmlns:a16="http://schemas.microsoft.com/office/drawing/2014/main" id="{69E19EB5-7B73-E05D-4A12-AB689B692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220345</xdr:colOff>
      <xdr:row>8</xdr:row>
      <xdr:rowOff>116840</xdr:rowOff>
    </xdr:from>
    <xdr:to>
      <xdr:col>6</xdr:col>
      <xdr:colOff>63500</xdr:colOff>
      <xdr:row>16</xdr:row>
      <xdr:rowOff>165100</xdr:rowOff>
    </xdr:to>
    <xdr:graphicFrame macro="">
      <xdr:nvGraphicFramePr>
        <xdr:cNvPr id="18" name="Chart 17">
          <a:extLst>
            <a:ext uri="{FF2B5EF4-FFF2-40B4-BE49-F238E27FC236}">
              <a16:creationId xmlns:a16="http://schemas.microsoft.com/office/drawing/2014/main" id="{D3A94D0E-AF4C-6231-C5FA-561E2CFFD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151765</xdr:colOff>
      <xdr:row>18</xdr:row>
      <xdr:rowOff>110490</xdr:rowOff>
    </xdr:from>
    <xdr:to>
      <xdr:col>7</xdr:col>
      <xdr:colOff>46990</xdr:colOff>
      <xdr:row>28</xdr:row>
      <xdr:rowOff>129540</xdr:rowOff>
    </xdr:to>
    <xdr:graphicFrame macro="">
      <xdr:nvGraphicFramePr>
        <xdr:cNvPr id="19" name="Chart 18">
          <a:extLst>
            <a:ext uri="{FF2B5EF4-FFF2-40B4-BE49-F238E27FC236}">
              <a16:creationId xmlns:a16="http://schemas.microsoft.com/office/drawing/2014/main" id="{63C65308-C56C-E739-CBDC-C78B4797F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289560</xdr:colOff>
      <xdr:row>18</xdr:row>
      <xdr:rowOff>110490</xdr:rowOff>
    </xdr:from>
    <xdr:to>
      <xdr:col>11</xdr:col>
      <xdr:colOff>563880</xdr:colOff>
      <xdr:row>31</xdr:row>
      <xdr:rowOff>0</xdr:rowOff>
    </xdr:to>
    <xdr:graphicFrame macro="">
      <xdr:nvGraphicFramePr>
        <xdr:cNvPr id="2" name="Chart 1">
          <a:extLst>
            <a:ext uri="{FF2B5EF4-FFF2-40B4-BE49-F238E27FC236}">
              <a16:creationId xmlns:a16="http://schemas.microsoft.com/office/drawing/2014/main" id="{01D8FF8B-BA0A-7B26-1117-06BD8D915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114300</xdr:colOff>
      <xdr:row>29</xdr:row>
      <xdr:rowOff>156210</xdr:rowOff>
    </xdr:from>
    <xdr:to>
      <xdr:col>7</xdr:col>
      <xdr:colOff>213360</xdr:colOff>
      <xdr:row>42</xdr:row>
      <xdr:rowOff>15240</xdr:rowOff>
    </xdr:to>
    <xdr:graphicFrame macro="">
      <xdr:nvGraphicFramePr>
        <xdr:cNvPr id="3" name="Chart 2">
          <a:extLst>
            <a:ext uri="{FF2B5EF4-FFF2-40B4-BE49-F238E27FC236}">
              <a16:creationId xmlns:a16="http://schemas.microsoft.com/office/drawing/2014/main" id="{A167CFBB-4649-8163-91B2-6782B6C67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323850</xdr:colOff>
      <xdr:row>2</xdr:row>
      <xdr:rowOff>160972</xdr:rowOff>
    </xdr:from>
    <xdr:to>
      <xdr:col>10</xdr:col>
      <xdr:colOff>19050</xdr:colOff>
      <xdr:row>18</xdr:row>
      <xdr:rowOff>6667</xdr:rowOff>
    </xdr:to>
    <xdr:graphicFrame macro="">
      <xdr:nvGraphicFramePr>
        <xdr:cNvPr id="2" name="Chart 1">
          <a:extLst>
            <a:ext uri="{FF2B5EF4-FFF2-40B4-BE49-F238E27FC236}">
              <a16:creationId xmlns:a16="http://schemas.microsoft.com/office/drawing/2014/main" id="{F000C708-0B64-3441-305E-0B967568A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590550</xdr:colOff>
      <xdr:row>18</xdr:row>
      <xdr:rowOff>141922</xdr:rowOff>
    </xdr:from>
    <xdr:to>
      <xdr:col>10</xdr:col>
      <xdr:colOff>281940</xdr:colOff>
      <xdr:row>33</xdr:row>
      <xdr:rowOff>168592</xdr:rowOff>
    </xdr:to>
    <xdr:graphicFrame macro="">
      <xdr:nvGraphicFramePr>
        <xdr:cNvPr id="4" name="Chart 3">
          <a:extLst>
            <a:ext uri="{FF2B5EF4-FFF2-40B4-BE49-F238E27FC236}">
              <a16:creationId xmlns:a16="http://schemas.microsoft.com/office/drawing/2014/main" id="{D2183A39-7583-1D89-9EBB-16B81D6DE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19050</xdr:colOff>
      <xdr:row>1</xdr:row>
      <xdr:rowOff>161925</xdr:rowOff>
    </xdr:from>
    <xdr:to>
      <xdr:col>20</xdr:col>
      <xdr:colOff>300990</xdr:colOff>
      <xdr:row>3</xdr:row>
      <xdr:rowOff>100965</xdr:rowOff>
    </xdr:to>
    <xdr:sp macro="" textlink="">
      <xdr:nvSpPr>
        <xdr:cNvPr id="2" name="TextBox 1">
          <a:extLst>
            <a:ext uri="{FF2B5EF4-FFF2-40B4-BE49-F238E27FC236}">
              <a16:creationId xmlns:a16="http://schemas.microsoft.com/office/drawing/2014/main" id="{AF89235B-E839-442E-8070-F1E8FBB7E6AB}"/>
            </a:ext>
          </a:extLst>
        </xdr:cNvPr>
        <xdr:cNvSpPr txBox="1"/>
      </xdr:nvSpPr>
      <xdr:spPr>
        <a:xfrm>
          <a:off x="4892040" y="344805"/>
          <a:ext cx="760095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800" b="1"/>
            <a:t>BRIGHT Coffee</a:t>
          </a:r>
          <a:r>
            <a:rPr lang="en-ZA" sz="1800" b="1" baseline="0"/>
            <a:t> Analysis</a:t>
          </a:r>
          <a:endParaRPr lang="en-ZA" sz="1800" b="1"/>
        </a:p>
      </xdr:txBody>
    </xdr:sp>
    <xdr:clientData/>
  </xdr:twoCellAnchor>
  <xdr:twoCellAnchor>
    <xdr:from>
      <xdr:col>3</xdr:col>
      <xdr:colOff>211455</xdr:colOff>
      <xdr:row>5</xdr:row>
      <xdr:rowOff>173355</xdr:rowOff>
    </xdr:from>
    <xdr:to>
      <xdr:col>9</xdr:col>
      <xdr:colOff>502920</xdr:colOff>
      <xdr:row>11</xdr:row>
      <xdr:rowOff>161925</xdr:rowOff>
    </xdr:to>
    <xdr:sp macro="" textlink="">
      <xdr:nvSpPr>
        <xdr:cNvPr id="3" name="Rectangle: Rounded Corners 2">
          <a:extLst>
            <a:ext uri="{FF2B5EF4-FFF2-40B4-BE49-F238E27FC236}">
              <a16:creationId xmlns:a16="http://schemas.microsoft.com/office/drawing/2014/main" id="{088F3C45-6BCE-4505-9683-AE4B2262386E}"/>
            </a:ext>
          </a:extLst>
        </xdr:cNvPr>
        <xdr:cNvSpPr/>
      </xdr:nvSpPr>
      <xdr:spPr>
        <a:xfrm>
          <a:off x="2036445" y="1074420"/>
          <a:ext cx="3954780" cy="10801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xdr:col>
      <xdr:colOff>335280</xdr:colOff>
      <xdr:row>6</xdr:row>
      <xdr:rowOff>120015</xdr:rowOff>
    </xdr:from>
    <xdr:to>
      <xdr:col>5</xdr:col>
      <xdr:colOff>581025</xdr:colOff>
      <xdr:row>8</xdr:row>
      <xdr:rowOff>68580</xdr:rowOff>
    </xdr:to>
    <xdr:sp macro="" textlink="">
      <xdr:nvSpPr>
        <xdr:cNvPr id="4" name="TextBox 3">
          <a:extLst>
            <a:ext uri="{FF2B5EF4-FFF2-40B4-BE49-F238E27FC236}">
              <a16:creationId xmlns:a16="http://schemas.microsoft.com/office/drawing/2014/main" id="{0166E58B-65C3-4636-AA47-9A009B8B96BF}"/>
            </a:ext>
          </a:extLst>
        </xdr:cNvPr>
        <xdr:cNvSpPr txBox="1"/>
      </xdr:nvSpPr>
      <xdr:spPr>
        <a:xfrm>
          <a:off x="2162175" y="1207770"/>
          <a:ext cx="1468755" cy="306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Product</a:t>
          </a:r>
          <a:r>
            <a:rPr lang="en-ZA" sz="1400" b="1" baseline="0"/>
            <a:t> Category </a:t>
          </a:r>
          <a:endParaRPr lang="en-ZA" sz="1400" b="1"/>
        </a:p>
      </xdr:txBody>
    </xdr:sp>
    <xdr:clientData/>
  </xdr:twoCellAnchor>
  <xdr:twoCellAnchor>
    <xdr:from>
      <xdr:col>6</xdr:col>
      <xdr:colOff>449580</xdr:colOff>
      <xdr:row>6</xdr:row>
      <xdr:rowOff>112395</xdr:rowOff>
    </xdr:from>
    <xdr:to>
      <xdr:col>9</xdr:col>
      <xdr:colOff>85725</xdr:colOff>
      <xdr:row>8</xdr:row>
      <xdr:rowOff>62865</xdr:rowOff>
    </xdr:to>
    <xdr:sp macro="" textlink="">
      <xdr:nvSpPr>
        <xdr:cNvPr id="5" name="TextBox 4">
          <a:extLst>
            <a:ext uri="{FF2B5EF4-FFF2-40B4-BE49-F238E27FC236}">
              <a16:creationId xmlns:a16="http://schemas.microsoft.com/office/drawing/2014/main" id="{3A104DA4-0D1D-4770-B2DB-A7F480F513A9}"/>
            </a:ext>
          </a:extLst>
        </xdr:cNvPr>
        <xdr:cNvSpPr txBox="1"/>
      </xdr:nvSpPr>
      <xdr:spPr>
        <a:xfrm>
          <a:off x="4105275" y="1198245"/>
          <a:ext cx="1468755" cy="30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Quantity</a:t>
          </a:r>
          <a:r>
            <a:rPr lang="en-ZA" sz="1400" b="1" baseline="0"/>
            <a:t> Sold</a:t>
          </a:r>
          <a:endParaRPr lang="en-ZA" sz="1400" b="1"/>
        </a:p>
      </xdr:txBody>
    </xdr:sp>
    <xdr:clientData/>
  </xdr:twoCellAnchor>
  <xdr:twoCellAnchor>
    <xdr:from>
      <xdr:col>4</xdr:col>
      <xdr:colOff>367665</xdr:colOff>
      <xdr:row>9</xdr:row>
      <xdr:rowOff>148590</xdr:rowOff>
    </xdr:from>
    <xdr:to>
      <xdr:col>8</xdr:col>
      <xdr:colOff>238125</xdr:colOff>
      <xdr:row>11</xdr:row>
      <xdr:rowOff>97155</xdr:rowOff>
    </xdr:to>
    <xdr:sp macro="" textlink="">
      <xdr:nvSpPr>
        <xdr:cNvPr id="6" name="TextBox 5">
          <a:extLst>
            <a:ext uri="{FF2B5EF4-FFF2-40B4-BE49-F238E27FC236}">
              <a16:creationId xmlns:a16="http://schemas.microsoft.com/office/drawing/2014/main" id="{2D58C133-5502-47CC-A01A-5B57C02CB63F}"/>
            </a:ext>
          </a:extLst>
        </xdr:cNvPr>
        <xdr:cNvSpPr txBox="1"/>
      </xdr:nvSpPr>
      <xdr:spPr>
        <a:xfrm>
          <a:off x="2802255" y="1777365"/>
          <a:ext cx="2314575" cy="306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Product</a:t>
          </a:r>
          <a:r>
            <a:rPr lang="en-ZA" sz="1400" b="1" baseline="0"/>
            <a:t> Type</a:t>
          </a:r>
          <a:endParaRPr lang="en-ZA" sz="1400" b="1"/>
        </a:p>
      </xdr:txBody>
    </xdr:sp>
    <xdr:clientData/>
  </xdr:twoCellAnchor>
  <xdr:twoCellAnchor>
    <xdr:from>
      <xdr:col>14</xdr:col>
      <xdr:colOff>588645</xdr:colOff>
      <xdr:row>6</xdr:row>
      <xdr:rowOff>57150</xdr:rowOff>
    </xdr:from>
    <xdr:to>
      <xdr:col>21</xdr:col>
      <xdr:colOff>268605</xdr:colOff>
      <xdr:row>12</xdr:row>
      <xdr:rowOff>45720</xdr:rowOff>
    </xdr:to>
    <xdr:sp macro="" textlink="">
      <xdr:nvSpPr>
        <xdr:cNvPr id="7" name="Rectangle: Rounded Corners 6">
          <a:extLst>
            <a:ext uri="{FF2B5EF4-FFF2-40B4-BE49-F238E27FC236}">
              <a16:creationId xmlns:a16="http://schemas.microsoft.com/office/drawing/2014/main" id="{B1D3CA47-F365-4963-9A71-112AA76F7B00}"/>
            </a:ext>
          </a:extLst>
        </xdr:cNvPr>
        <xdr:cNvSpPr/>
      </xdr:nvSpPr>
      <xdr:spPr>
        <a:xfrm>
          <a:off x="9126855" y="1139190"/>
          <a:ext cx="3943350" cy="10801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14</xdr:col>
      <xdr:colOff>588645</xdr:colOff>
      <xdr:row>6</xdr:row>
      <xdr:rowOff>57150</xdr:rowOff>
    </xdr:from>
    <xdr:to>
      <xdr:col>21</xdr:col>
      <xdr:colOff>260985</xdr:colOff>
      <xdr:row>12</xdr:row>
      <xdr:rowOff>43815</xdr:rowOff>
    </xdr:to>
    <xdr:sp macro="" textlink="">
      <xdr:nvSpPr>
        <xdr:cNvPr id="8" name="Rectangle: Rounded Corners 7">
          <a:extLst>
            <a:ext uri="{FF2B5EF4-FFF2-40B4-BE49-F238E27FC236}">
              <a16:creationId xmlns:a16="http://schemas.microsoft.com/office/drawing/2014/main" id="{308B0F3B-E1A1-4E46-9C9C-548DA4655B33}"/>
            </a:ext>
          </a:extLst>
        </xdr:cNvPr>
        <xdr:cNvSpPr/>
      </xdr:nvSpPr>
      <xdr:spPr>
        <a:xfrm>
          <a:off x="9126855" y="1139190"/>
          <a:ext cx="3933825" cy="10782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15</xdr:col>
      <xdr:colOff>15240</xdr:colOff>
      <xdr:row>6</xdr:row>
      <xdr:rowOff>68580</xdr:rowOff>
    </xdr:from>
    <xdr:to>
      <xdr:col>21</xdr:col>
      <xdr:colOff>283845</xdr:colOff>
      <xdr:row>12</xdr:row>
      <xdr:rowOff>68580</xdr:rowOff>
    </xdr:to>
    <xdr:sp macro="" textlink="">
      <xdr:nvSpPr>
        <xdr:cNvPr id="9" name="Rectangle: Rounded Corners 8">
          <a:extLst>
            <a:ext uri="{FF2B5EF4-FFF2-40B4-BE49-F238E27FC236}">
              <a16:creationId xmlns:a16="http://schemas.microsoft.com/office/drawing/2014/main" id="{6F79D2C5-A282-464A-90D5-DFECE38ECF4B}"/>
            </a:ext>
          </a:extLst>
        </xdr:cNvPr>
        <xdr:cNvSpPr/>
      </xdr:nvSpPr>
      <xdr:spPr>
        <a:xfrm>
          <a:off x="9163050" y="1152525"/>
          <a:ext cx="3926205" cy="1085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15</xdr:col>
      <xdr:colOff>144780</xdr:colOff>
      <xdr:row>7</xdr:row>
      <xdr:rowOff>15240</xdr:rowOff>
    </xdr:from>
    <xdr:to>
      <xdr:col>17</xdr:col>
      <xdr:colOff>398145</xdr:colOff>
      <xdr:row>8</xdr:row>
      <xdr:rowOff>142875</xdr:rowOff>
    </xdr:to>
    <xdr:sp macro="" textlink="">
      <xdr:nvSpPr>
        <xdr:cNvPr id="10" name="TextBox 9">
          <a:extLst>
            <a:ext uri="{FF2B5EF4-FFF2-40B4-BE49-F238E27FC236}">
              <a16:creationId xmlns:a16="http://schemas.microsoft.com/office/drawing/2014/main" id="{32CABA36-5D2C-4DB7-9A7D-83E28A3F0099}"/>
            </a:ext>
          </a:extLst>
        </xdr:cNvPr>
        <xdr:cNvSpPr txBox="1"/>
      </xdr:nvSpPr>
      <xdr:spPr>
        <a:xfrm>
          <a:off x="9286875" y="1285875"/>
          <a:ext cx="1478280" cy="302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Transaction</a:t>
          </a:r>
          <a:r>
            <a:rPr lang="en-ZA" sz="1400" b="1" baseline="0"/>
            <a:t> Id</a:t>
          </a:r>
          <a:endParaRPr lang="en-ZA" sz="1400" b="1"/>
        </a:p>
      </xdr:txBody>
    </xdr:sp>
    <xdr:clientData/>
  </xdr:twoCellAnchor>
  <xdr:twoCellAnchor>
    <xdr:from>
      <xdr:col>18</xdr:col>
      <xdr:colOff>259080</xdr:colOff>
      <xdr:row>7</xdr:row>
      <xdr:rowOff>24765</xdr:rowOff>
    </xdr:from>
    <xdr:to>
      <xdr:col>20</xdr:col>
      <xdr:colOff>512445</xdr:colOff>
      <xdr:row>8</xdr:row>
      <xdr:rowOff>152400</xdr:rowOff>
    </xdr:to>
    <xdr:sp macro="" textlink="">
      <xdr:nvSpPr>
        <xdr:cNvPr id="11" name="TextBox 10">
          <a:extLst>
            <a:ext uri="{FF2B5EF4-FFF2-40B4-BE49-F238E27FC236}">
              <a16:creationId xmlns:a16="http://schemas.microsoft.com/office/drawing/2014/main" id="{FDB439E5-A7DF-4B4B-A207-F73008D90F55}"/>
            </a:ext>
          </a:extLst>
        </xdr:cNvPr>
        <xdr:cNvSpPr txBox="1"/>
      </xdr:nvSpPr>
      <xdr:spPr>
        <a:xfrm>
          <a:off x="11229975" y="1287780"/>
          <a:ext cx="147828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Revenue</a:t>
          </a:r>
        </a:p>
      </xdr:txBody>
    </xdr:sp>
    <xdr:clientData/>
  </xdr:twoCellAnchor>
  <xdr:twoCellAnchor>
    <xdr:from>
      <xdr:col>16</xdr:col>
      <xdr:colOff>497205</xdr:colOff>
      <xdr:row>9</xdr:row>
      <xdr:rowOff>158115</xdr:rowOff>
    </xdr:from>
    <xdr:to>
      <xdr:col>19</xdr:col>
      <xdr:colOff>140970</xdr:colOff>
      <xdr:row>11</xdr:row>
      <xdr:rowOff>104775</xdr:rowOff>
    </xdr:to>
    <xdr:sp macro="" textlink="">
      <xdr:nvSpPr>
        <xdr:cNvPr id="12" name="TextBox 11">
          <a:extLst>
            <a:ext uri="{FF2B5EF4-FFF2-40B4-BE49-F238E27FC236}">
              <a16:creationId xmlns:a16="http://schemas.microsoft.com/office/drawing/2014/main" id="{AAECC88A-1AEF-439C-A35D-B81EB4FCBCBF}"/>
            </a:ext>
          </a:extLst>
        </xdr:cNvPr>
        <xdr:cNvSpPr txBox="1"/>
      </xdr:nvSpPr>
      <xdr:spPr>
        <a:xfrm>
          <a:off x="10250805" y="1788795"/>
          <a:ext cx="147066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Month</a:t>
          </a:r>
        </a:p>
      </xdr:txBody>
    </xdr:sp>
    <xdr:clientData/>
  </xdr:twoCellAnchor>
  <xdr:twoCellAnchor>
    <xdr:from>
      <xdr:col>3</xdr:col>
      <xdr:colOff>95249</xdr:colOff>
      <xdr:row>15</xdr:row>
      <xdr:rowOff>167640</xdr:rowOff>
    </xdr:from>
    <xdr:to>
      <xdr:col>26</xdr:col>
      <xdr:colOff>161925</xdr:colOff>
      <xdr:row>35</xdr:row>
      <xdr:rowOff>19050</xdr:rowOff>
    </xdr:to>
    <xdr:sp macro="" textlink="">
      <xdr:nvSpPr>
        <xdr:cNvPr id="13" name="Rectangle 12">
          <a:extLst>
            <a:ext uri="{FF2B5EF4-FFF2-40B4-BE49-F238E27FC236}">
              <a16:creationId xmlns:a16="http://schemas.microsoft.com/office/drawing/2014/main" id="{8D047111-9EB0-4C21-98CD-E7D18E7FB4A1}"/>
            </a:ext>
          </a:extLst>
        </xdr:cNvPr>
        <xdr:cNvSpPr/>
      </xdr:nvSpPr>
      <xdr:spPr>
        <a:xfrm>
          <a:off x="1927859" y="2971800"/>
          <a:ext cx="14085571" cy="34632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400" b="1"/>
            <a:t>                                         Total Revenue by Product Category</a:t>
          </a:r>
          <a:r>
            <a:rPr lang="en-ZA" sz="1400" b="1" baseline="0"/>
            <a:t>                                                       Quantity Sold by Revenue                                                                                          Total Revenue by Product Type</a:t>
          </a:r>
          <a:endParaRPr lang="en-ZA" sz="1400" b="1"/>
        </a:p>
      </xdr:txBody>
    </xdr:sp>
    <xdr:clientData/>
  </xdr:twoCellAnchor>
  <xdr:twoCellAnchor>
    <xdr:from>
      <xdr:col>3</xdr:col>
      <xdr:colOff>344806</xdr:colOff>
      <xdr:row>17</xdr:row>
      <xdr:rowOff>125729</xdr:rowOff>
    </xdr:from>
    <xdr:to>
      <xdr:col>10</xdr:col>
      <xdr:colOff>268605</xdr:colOff>
      <xdr:row>33</xdr:row>
      <xdr:rowOff>55244</xdr:rowOff>
    </xdr:to>
    <xdr:graphicFrame macro="">
      <xdr:nvGraphicFramePr>
        <xdr:cNvPr id="14" name="Chart 13">
          <a:extLst>
            <a:ext uri="{FF2B5EF4-FFF2-40B4-BE49-F238E27FC236}">
              <a16:creationId xmlns:a16="http://schemas.microsoft.com/office/drawing/2014/main" id="{8598720F-93FF-43AD-802A-12800B224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17</xdr:row>
      <xdr:rowOff>97155</xdr:rowOff>
    </xdr:from>
    <xdr:to>
      <xdr:col>18</xdr:col>
      <xdr:colOff>432434</xdr:colOff>
      <xdr:row>32</xdr:row>
      <xdr:rowOff>131445</xdr:rowOff>
    </xdr:to>
    <xdr:graphicFrame macro="">
      <xdr:nvGraphicFramePr>
        <xdr:cNvPr id="15" name="Chart 14">
          <a:extLst>
            <a:ext uri="{FF2B5EF4-FFF2-40B4-BE49-F238E27FC236}">
              <a16:creationId xmlns:a16="http://schemas.microsoft.com/office/drawing/2014/main" id="{FB1E15C6-5927-4D0A-9147-9A78C5E4B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514349</xdr:colOff>
      <xdr:row>17</xdr:row>
      <xdr:rowOff>114300</xdr:rowOff>
    </xdr:from>
    <xdr:to>
      <xdr:col>25</xdr:col>
      <xdr:colOff>340994</xdr:colOff>
      <xdr:row>32</xdr:row>
      <xdr:rowOff>87630</xdr:rowOff>
    </xdr:to>
    <xdr:graphicFrame macro="">
      <xdr:nvGraphicFramePr>
        <xdr:cNvPr id="16" name="Chart 15">
          <a:extLst>
            <a:ext uri="{FF2B5EF4-FFF2-40B4-BE49-F238E27FC236}">
              <a16:creationId xmlns:a16="http://schemas.microsoft.com/office/drawing/2014/main" id="{B93D7994-708D-48BC-89B1-75FEA5C06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43815</xdr:colOff>
      <xdr:row>37</xdr:row>
      <xdr:rowOff>97155</xdr:rowOff>
    </xdr:from>
    <xdr:to>
      <xdr:col>26</xdr:col>
      <xdr:colOff>45720</xdr:colOff>
      <xdr:row>57</xdr:row>
      <xdr:rowOff>9525</xdr:rowOff>
    </xdr:to>
    <xdr:sp macro="" textlink="">
      <xdr:nvSpPr>
        <xdr:cNvPr id="17" name="Rectangle 16">
          <a:extLst>
            <a:ext uri="{FF2B5EF4-FFF2-40B4-BE49-F238E27FC236}">
              <a16:creationId xmlns:a16="http://schemas.microsoft.com/office/drawing/2014/main" id="{877933AB-280E-4E2C-BC3A-815F23C02342}"/>
            </a:ext>
          </a:extLst>
        </xdr:cNvPr>
        <xdr:cNvSpPr/>
      </xdr:nvSpPr>
      <xdr:spPr>
        <a:xfrm>
          <a:off x="1874520" y="6922770"/>
          <a:ext cx="14022705" cy="3537585"/>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ZA" sz="1400" b="1"/>
            <a:t>                                               Total Revenue by Product Category</a:t>
          </a:r>
          <a:r>
            <a:rPr lang="en-ZA" sz="1400" b="1" baseline="0"/>
            <a:t>                                                       Quantity Sold by Revenue                                                                                           Total Revenue by Product Type</a:t>
          </a:r>
          <a:endParaRPr lang="en-ZA" sz="1400" b="1"/>
        </a:p>
      </xdr:txBody>
    </xdr:sp>
    <xdr:clientData/>
  </xdr:twoCellAnchor>
  <xdr:twoCellAnchor>
    <xdr:from>
      <xdr:col>3</xdr:col>
      <xdr:colOff>323850</xdr:colOff>
      <xdr:row>39</xdr:row>
      <xdr:rowOff>139065</xdr:rowOff>
    </xdr:from>
    <xdr:to>
      <xdr:col>11</xdr:col>
      <xdr:colOff>22859</xdr:colOff>
      <xdr:row>56</xdr:row>
      <xdr:rowOff>0</xdr:rowOff>
    </xdr:to>
    <xdr:graphicFrame macro="">
      <xdr:nvGraphicFramePr>
        <xdr:cNvPr id="18" name="Revenue by Category">
          <a:extLst>
            <a:ext uri="{FF2B5EF4-FFF2-40B4-BE49-F238E27FC236}">
              <a16:creationId xmlns:a16="http://schemas.microsoft.com/office/drawing/2014/main" id="{79C5CB0D-0180-4653-877C-99BD01E42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59054</xdr:colOff>
      <xdr:row>39</xdr:row>
      <xdr:rowOff>133350</xdr:rowOff>
    </xdr:from>
    <xdr:to>
      <xdr:col>18</xdr:col>
      <xdr:colOff>567690</xdr:colOff>
      <xdr:row>55</xdr:row>
      <xdr:rowOff>161925</xdr:rowOff>
    </xdr:to>
    <xdr:graphicFrame macro="">
      <xdr:nvGraphicFramePr>
        <xdr:cNvPr id="19" name="Revenue by Time of Day">
          <a:extLst>
            <a:ext uri="{FF2B5EF4-FFF2-40B4-BE49-F238E27FC236}">
              <a16:creationId xmlns:a16="http://schemas.microsoft.com/office/drawing/2014/main" id="{5B4D2914-8A83-4F31-BEA1-EE42A4176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598170</xdr:colOff>
      <xdr:row>60</xdr:row>
      <xdr:rowOff>28575</xdr:rowOff>
    </xdr:from>
    <xdr:to>
      <xdr:col>26</xdr:col>
      <xdr:colOff>152400</xdr:colOff>
      <xdr:row>79</xdr:row>
      <xdr:rowOff>125730</xdr:rowOff>
    </xdr:to>
    <xdr:sp macro="" textlink="">
      <xdr:nvSpPr>
        <xdr:cNvPr id="20" name="Rectangle 19">
          <a:extLst>
            <a:ext uri="{FF2B5EF4-FFF2-40B4-BE49-F238E27FC236}">
              <a16:creationId xmlns:a16="http://schemas.microsoft.com/office/drawing/2014/main" id="{22A9F90A-EB4B-436E-9580-2DBA159FEFE8}"/>
            </a:ext>
          </a:extLst>
        </xdr:cNvPr>
        <xdr:cNvSpPr/>
      </xdr:nvSpPr>
      <xdr:spPr>
        <a:xfrm>
          <a:off x="1815465" y="11056620"/>
          <a:ext cx="14186535" cy="3541395"/>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ZA" sz="1400" b="1"/>
            <a:t>                                              </a:t>
          </a:r>
          <a:r>
            <a:rPr lang="en-ZA" sz="1400" b="1" baseline="0"/>
            <a:t>                                                      </a:t>
          </a:r>
          <a:endParaRPr lang="en-ZA" sz="1400" b="1"/>
        </a:p>
      </xdr:txBody>
    </xdr:sp>
    <xdr:clientData/>
  </xdr:twoCellAnchor>
  <xdr:twoCellAnchor>
    <xdr:from>
      <xdr:col>3</xdr:col>
      <xdr:colOff>430530</xdr:colOff>
      <xdr:row>60</xdr:row>
      <xdr:rowOff>140970</xdr:rowOff>
    </xdr:from>
    <xdr:to>
      <xdr:col>12</xdr:col>
      <xdr:colOff>542925</xdr:colOff>
      <xdr:row>79</xdr:row>
      <xdr:rowOff>133349</xdr:rowOff>
    </xdr:to>
    <xdr:graphicFrame macro="">
      <xdr:nvGraphicFramePr>
        <xdr:cNvPr id="21" name="Top Product Types">
          <a:extLst>
            <a:ext uri="{FF2B5EF4-FFF2-40B4-BE49-F238E27FC236}">
              <a16:creationId xmlns:a16="http://schemas.microsoft.com/office/drawing/2014/main" id="{664A8C1A-4243-41F9-8D85-45E4FE6B3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552450</xdr:colOff>
      <xdr:row>61</xdr:row>
      <xdr:rowOff>15240</xdr:rowOff>
    </xdr:from>
    <xdr:to>
      <xdr:col>21</xdr:col>
      <xdr:colOff>333376</xdr:colOff>
      <xdr:row>79</xdr:row>
      <xdr:rowOff>38100</xdr:rowOff>
    </xdr:to>
    <xdr:graphicFrame macro="">
      <xdr:nvGraphicFramePr>
        <xdr:cNvPr id="22" name="Category Revenue Chart">
          <a:extLst>
            <a:ext uri="{FF2B5EF4-FFF2-40B4-BE49-F238E27FC236}">
              <a16:creationId xmlns:a16="http://schemas.microsoft.com/office/drawing/2014/main" id="{B3BEC2AF-74FE-4DED-AD15-E7F982C48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53340</xdr:colOff>
      <xdr:row>39</xdr:row>
      <xdr:rowOff>95250</xdr:rowOff>
    </xdr:from>
    <xdr:to>
      <xdr:col>25</xdr:col>
      <xdr:colOff>434340</xdr:colOff>
      <xdr:row>55</xdr:row>
      <xdr:rowOff>171449</xdr:rowOff>
    </xdr:to>
    <xdr:graphicFrame macro="">
      <xdr:nvGraphicFramePr>
        <xdr:cNvPr id="23" name="Hourly Revenue Trend">
          <a:extLst>
            <a:ext uri="{FF2B5EF4-FFF2-40B4-BE49-F238E27FC236}">
              <a16:creationId xmlns:a16="http://schemas.microsoft.com/office/drawing/2014/main" id="{18CA4AE1-0214-46F8-88EC-92B951C42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68580</xdr:colOff>
      <xdr:row>16</xdr:row>
      <xdr:rowOff>74295</xdr:rowOff>
    </xdr:from>
    <xdr:to>
      <xdr:col>2</xdr:col>
      <xdr:colOff>592455</xdr:colOff>
      <xdr:row>30</xdr:row>
      <xdr:rowOff>133350</xdr:rowOff>
    </xdr:to>
    <mc:AlternateContent xmlns:mc="http://schemas.openxmlformats.org/markup-compatibility/2006">
      <mc:Choice xmlns:a14="http://schemas.microsoft.com/office/drawing/2010/main" Requires="a14">
        <xdr:graphicFrame macro="">
          <xdr:nvGraphicFramePr>
            <xdr:cNvPr id="24" name="product_category 1">
              <a:extLst>
                <a:ext uri="{FF2B5EF4-FFF2-40B4-BE49-F238E27FC236}">
                  <a16:creationId xmlns:a16="http://schemas.microsoft.com/office/drawing/2014/main" id="{36A3623C-3CDD-4336-B58D-1F19D648A7F1}"/>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66675" y="3055620"/>
              <a:ext cx="1741170" cy="258889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97155</xdr:colOff>
      <xdr:row>32</xdr:row>
      <xdr:rowOff>59055</xdr:rowOff>
    </xdr:from>
    <xdr:to>
      <xdr:col>2</xdr:col>
      <xdr:colOff>474345</xdr:colOff>
      <xdr:row>46</xdr:row>
      <xdr:rowOff>59055</xdr:rowOff>
    </xdr:to>
    <mc:AlternateContent xmlns:mc="http://schemas.openxmlformats.org/markup-compatibility/2006">
      <mc:Choice xmlns:a14="http://schemas.microsoft.com/office/drawing/2010/main" Requires="a14">
        <xdr:graphicFrame macro="">
          <xdr:nvGraphicFramePr>
            <xdr:cNvPr id="25" name="product_type 1">
              <a:extLst>
                <a:ext uri="{FF2B5EF4-FFF2-40B4-BE49-F238E27FC236}">
                  <a16:creationId xmlns:a16="http://schemas.microsoft.com/office/drawing/2014/main" id="{95CE1EAA-B1DB-4BAD-A9AA-E6F92911A0A3}"/>
                </a:ext>
              </a:extLst>
            </xdr:cNvPr>
            <xdr:cNvGraphicFramePr/>
          </xdr:nvGraphicFramePr>
          <xdr:xfrm>
            <a:off x="0" y="0"/>
            <a:ext cx="0" cy="0"/>
          </xdr:xfrm>
          <a:graphic>
            <a:graphicData uri="http://schemas.microsoft.com/office/drawing/2010/slicer">
              <sle:slicer xmlns:sle="http://schemas.microsoft.com/office/drawing/2010/slicer" name="product_type 1"/>
            </a:graphicData>
          </a:graphic>
        </xdr:graphicFrame>
      </mc:Choice>
      <mc:Fallback>
        <xdr:sp macro="" textlink="">
          <xdr:nvSpPr>
            <xdr:cNvPr id="0" name=""/>
            <xdr:cNvSpPr>
              <a:spLocks noTextEdit="1"/>
            </xdr:cNvSpPr>
          </xdr:nvSpPr>
          <xdr:spPr>
            <a:xfrm>
              <a:off x="93345" y="5932170"/>
              <a:ext cx="160401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47</xdr:row>
      <xdr:rowOff>53340</xdr:rowOff>
    </xdr:from>
    <xdr:to>
      <xdr:col>2</xdr:col>
      <xdr:colOff>398145</xdr:colOff>
      <xdr:row>61</xdr:row>
      <xdr:rowOff>55245</xdr:rowOff>
    </xdr:to>
    <mc:AlternateContent xmlns:mc="http://schemas.openxmlformats.org/markup-compatibility/2006">
      <mc:Choice xmlns:a14="http://schemas.microsoft.com/office/drawing/2010/main" Requires="a14">
        <xdr:graphicFrame macro="">
          <xdr:nvGraphicFramePr>
            <xdr:cNvPr id="26" name="transaction_id 1">
              <a:extLst>
                <a:ext uri="{FF2B5EF4-FFF2-40B4-BE49-F238E27FC236}">
                  <a16:creationId xmlns:a16="http://schemas.microsoft.com/office/drawing/2014/main" id="{6F6D1413-1FD5-4C65-BDC7-35A26E14FF00}"/>
                </a:ext>
              </a:extLst>
            </xdr:cNvPr>
            <xdr:cNvGraphicFramePr/>
          </xdr:nvGraphicFramePr>
          <xdr:xfrm>
            <a:off x="0" y="0"/>
            <a:ext cx="0" cy="0"/>
          </xdr:xfrm>
          <a:graphic>
            <a:graphicData uri="http://schemas.microsoft.com/office/drawing/2010/slicer">
              <sle:slicer xmlns:sle="http://schemas.microsoft.com/office/drawing/2010/slicer" name="transaction_id 1"/>
            </a:graphicData>
          </a:graphic>
        </xdr:graphicFrame>
      </mc:Choice>
      <mc:Fallback>
        <xdr:sp macro="" textlink="">
          <xdr:nvSpPr>
            <xdr:cNvPr id="0" name=""/>
            <xdr:cNvSpPr>
              <a:spLocks noTextEdit="1"/>
            </xdr:cNvSpPr>
          </xdr:nvSpPr>
          <xdr:spPr>
            <a:xfrm>
              <a:off x="0" y="8696325"/>
              <a:ext cx="1621155" cy="257365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361950</xdr:colOff>
      <xdr:row>61</xdr:row>
      <xdr:rowOff>5715</xdr:rowOff>
    </xdr:from>
    <xdr:to>
      <xdr:col>26</xdr:col>
      <xdr:colOff>91440</xdr:colOff>
      <xdr:row>79</xdr:row>
      <xdr:rowOff>66675</xdr:rowOff>
    </xdr:to>
    <xdr:graphicFrame macro="">
      <xdr:nvGraphicFramePr>
        <xdr:cNvPr id="27" name="Chart 26">
          <a:extLst>
            <a:ext uri="{FF2B5EF4-FFF2-40B4-BE49-F238E27FC236}">
              <a16:creationId xmlns:a16="http://schemas.microsoft.com/office/drawing/2014/main" id="{27ED036C-7D53-4A0A-A751-B9A2C3E5E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26</xdr:col>
      <xdr:colOff>215265</xdr:colOff>
      <xdr:row>16</xdr:row>
      <xdr:rowOff>7620</xdr:rowOff>
    </xdr:from>
    <xdr:to>
      <xdr:col>29</xdr:col>
      <xdr:colOff>211455</xdr:colOff>
      <xdr:row>30</xdr:row>
      <xdr:rowOff>59055</xdr:rowOff>
    </xdr:to>
    <mc:AlternateContent xmlns:mc="http://schemas.openxmlformats.org/markup-compatibility/2006">
      <mc:Choice xmlns:a14="http://schemas.microsoft.com/office/drawing/2010/main" Requires="a14">
        <xdr:graphicFrame macro="">
          <xdr:nvGraphicFramePr>
            <xdr:cNvPr id="28" name="store_location 1">
              <a:extLst>
                <a:ext uri="{FF2B5EF4-FFF2-40B4-BE49-F238E27FC236}">
                  <a16:creationId xmlns:a16="http://schemas.microsoft.com/office/drawing/2014/main" id="{18B6B2E7-D846-4AFE-8FF0-20F806E18BE8}"/>
                </a:ext>
              </a:extLst>
            </xdr:cNvPr>
            <xdr:cNvGraphicFramePr/>
          </xdr:nvGraphicFramePr>
          <xdr:xfrm>
            <a:off x="0" y="0"/>
            <a:ext cx="0" cy="0"/>
          </xdr:xfrm>
          <a:graphic>
            <a:graphicData uri="http://schemas.microsoft.com/office/drawing/2010/slicer">
              <sle:slicer xmlns:sle="http://schemas.microsoft.com/office/drawing/2010/slicer" name="store_location 1"/>
            </a:graphicData>
          </a:graphic>
        </xdr:graphicFrame>
      </mc:Choice>
      <mc:Fallback>
        <xdr:sp macro="" textlink="">
          <xdr:nvSpPr>
            <xdr:cNvPr id="0" name=""/>
            <xdr:cNvSpPr>
              <a:spLocks noTextEdit="1"/>
            </xdr:cNvSpPr>
          </xdr:nvSpPr>
          <xdr:spPr>
            <a:xfrm>
              <a:off x="16061055" y="2990850"/>
              <a:ext cx="1824990" cy="257937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163830</xdr:colOff>
      <xdr:row>32</xdr:row>
      <xdr:rowOff>161925</xdr:rowOff>
    </xdr:from>
    <xdr:to>
      <xdr:col>29</xdr:col>
      <xdr:colOff>167640</xdr:colOff>
      <xdr:row>46</xdr:row>
      <xdr:rowOff>167640</xdr:rowOff>
    </xdr:to>
    <mc:AlternateContent xmlns:mc="http://schemas.openxmlformats.org/markup-compatibility/2006">
      <mc:Choice xmlns:a14="http://schemas.microsoft.com/office/drawing/2010/main" Requires="a14">
        <xdr:graphicFrame macro="">
          <xdr:nvGraphicFramePr>
            <xdr:cNvPr id="29" name="store_id 1">
              <a:extLst>
                <a:ext uri="{FF2B5EF4-FFF2-40B4-BE49-F238E27FC236}">
                  <a16:creationId xmlns:a16="http://schemas.microsoft.com/office/drawing/2014/main" id="{4D7E8ED8-43FE-47F0-8699-B6F6CF49CF0E}"/>
                </a:ext>
              </a:extLst>
            </xdr:cNvPr>
            <xdr:cNvGraphicFramePr/>
          </xdr:nvGraphicFramePr>
          <xdr:xfrm>
            <a:off x="0" y="0"/>
            <a:ext cx="0" cy="0"/>
          </xdr:xfrm>
          <a:graphic>
            <a:graphicData uri="http://schemas.microsoft.com/office/drawing/2010/slicer">
              <sle:slicer xmlns:sle="http://schemas.microsoft.com/office/drawing/2010/slicer" name="store_id 1"/>
            </a:graphicData>
          </a:graphic>
        </xdr:graphicFrame>
      </mc:Choice>
      <mc:Fallback>
        <xdr:sp macro="" textlink="">
          <xdr:nvSpPr>
            <xdr:cNvPr id="0" name=""/>
            <xdr:cNvSpPr>
              <a:spLocks noTextEdit="1"/>
            </xdr:cNvSpPr>
          </xdr:nvSpPr>
          <xdr:spPr>
            <a:xfrm>
              <a:off x="16017240" y="6040755"/>
              <a:ext cx="1832610" cy="258889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84</xdr:row>
      <xdr:rowOff>49530</xdr:rowOff>
    </xdr:from>
    <xdr:to>
      <xdr:col>25</xdr:col>
      <xdr:colOff>417195</xdr:colOff>
      <xdr:row>108</xdr:row>
      <xdr:rowOff>152400</xdr:rowOff>
    </xdr:to>
    <xdr:sp macro="" textlink="">
      <xdr:nvSpPr>
        <xdr:cNvPr id="30" name="Rectangle 29">
          <a:extLst>
            <a:ext uri="{FF2B5EF4-FFF2-40B4-BE49-F238E27FC236}">
              <a16:creationId xmlns:a16="http://schemas.microsoft.com/office/drawing/2014/main" id="{3903BBEB-3CB4-42DA-824B-35F44C2E4D55}"/>
            </a:ext>
          </a:extLst>
        </xdr:cNvPr>
        <xdr:cNvSpPr/>
      </xdr:nvSpPr>
      <xdr:spPr>
        <a:xfrm>
          <a:off x="1463040" y="15426690"/>
          <a:ext cx="14194155" cy="45281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ZA" sz="1600" b="1"/>
            <a:t>                                              </a:t>
          </a:r>
          <a:r>
            <a:rPr lang="en-ZA" sz="1600" b="1" baseline="0"/>
            <a:t>    </a:t>
          </a:r>
          <a:r>
            <a:rPr lang="en-ZA" sz="2000" b="1" baseline="0"/>
            <a:t>Recommendations &amp; KPI                                                  </a:t>
          </a:r>
          <a:endParaRPr lang="en-ZA" sz="1600" b="1"/>
        </a:p>
      </xdr:txBody>
    </xdr:sp>
    <xdr:clientData/>
  </xdr:twoCellAnchor>
  <xdr:twoCellAnchor>
    <xdr:from>
      <xdr:col>18</xdr:col>
      <xdr:colOff>163830</xdr:colOff>
      <xdr:row>86</xdr:row>
      <xdr:rowOff>180974</xdr:rowOff>
    </xdr:from>
    <xdr:to>
      <xdr:col>25</xdr:col>
      <xdr:colOff>49530</xdr:colOff>
      <xdr:row>105</xdr:row>
      <xdr:rowOff>125730</xdr:rowOff>
    </xdr:to>
    <xdr:sp macro="" textlink="">
      <xdr:nvSpPr>
        <xdr:cNvPr id="31" name="Speech Bubble: Oval 30">
          <a:extLst>
            <a:ext uri="{FF2B5EF4-FFF2-40B4-BE49-F238E27FC236}">
              <a16:creationId xmlns:a16="http://schemas.microsoft.com/office/drawing/2014/main" id="{DD039572-0DC1-47DA-B330-6462428AEA26}"/>
            </a:ext>
          </a:extLst>
        </xdr:cNvPr>
        <xdr:cNvSpPr/>
      </xdr:nvSpPr>
      <xdr:spPr>
        <a:xfrm>
          <a:off x="11140440" y="16000094"/>
          <a:ext cx="4152900" cy="3388996"/>
        </a:xfrm>
        <a:prstGeom prst="wedgeEllipseCallou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ZA" sz="1600" b="1" baseline="0"/>
            <a:t>Sales Trends</a:t>
          </a:r>
        </a:p>
        <a:p>
          <a:pPr algn="l"/>
          <a:endParaRPr lang="en-ZA" sz="1100" baseline="0"/>
        </a:p>
        <a:p>
          <a:pPr algn="l"/>
          <a:r>
            <a:rPr lang="en-ZA" sz="1200" b="1" baseline="0">
              <a:solidFill>
                <a:schemeClr val="bg1"/>
              </a:solidFill>
            </a:rPr>
            <a:t>Insights</a:t>
          </a:r>
        </a:p>
        <a:p>
          <a:pPr algn="l"/>
          <a:r>
            <a:rPr lang="en-ZA"/>
            <a:t>Sales go up and down over time.</a:t>
          </a:r>
          <a:endParaRPr lang="en-ZA" sz="1100" b="1" baseline="0">
            <a:solidFill>
              <a:schemeClr val="bg1"/>
            </a:solidFill>
          </a:endParaRPr>
        </a:p>
        <a:p>
          <a:pPr algn="l"/>
          <a:r>
            <a:rPr lang="en-ZA"/>
            <a:t>Customer buying patterns change throughout the year.</a:t>
          </a:r>
        </a:p>
        <a:p>
          <a:pPr algn="l"/>
          <a:endParaRPr lang="en-ZA"/>
        </a:p>
        <a:p>
          <a:pPr algn="l"/>
          <a:r>
            <a:rPr lang="en-ZA" sz="1200" b="1"/>
            <a:t>Recommendations</a:t>
          </a:r>
        </a:p>
        <a:p>
          <a:pPr algn="l"/>
          <a:r>
            <a:rPr lang="en-ZA" sz="1200"/>
            <a:t>Keep enough stock of products that sell well. </a:t>
          </a:r>
        </a:p>
        <a:p>
          <a:pPr algn="l"/>
          <a:r>
            <a:rPr lang="en-ZA" sz="1200"/>
            <a:t>Create promotions during slower periods. Keep an eye on products with falling sales and make changes if needed.</a:t>
          </a:r>
        </a:p>
        <a:p>
          <a:pPr algn="l"/>
          <a:endParaRPr lang="en-ZA" sz="1200" b="1"/>
        </a:p>
        <a:p>
          <a:pPr algn="l"/>
          <a:endParaRPr lang="en-ZA"/>
        </a:p>
        <a:p>
          <a:pPr algn="l"/>
          <a:endParaRPr lang="en-ZA" sz="1100" b="1" baseline="0">
            <a:solidFill>
              <a:schemeClr val="bg1"/>
            </a:solidFill>
          </a:endParaRPr>
        </a:p>
        <a:p>
          <a:pPr algn="l"/>
          <a:endParaRPr lang="en-ZA" sz="1100" b="1" baseline="0">
            <a:solidFill>
              <a:schemeClr val="bg1"/>
            </a:solidFill>
          </a:endParaRPr>
        </a:p>
        <a:p>
          <a:pPr algn="l"/>
          <a:endParaRPr lang="en-ZA" sz="1100" b="1" baseline="0">
            <a:solidFill>
              <a:schemeClr val="bg1"/>
            </a:solidFill>
          </a:endParaRPr>
        </a:p>
        <a:p>
          <a:pPr algn="l"/>
          <a:endParaRPr lang="en-ZA" sz="1100" b="1">
            <a:solidFill>
              <a:schemeClr val="bg1"/>
            </a:solidFill>
          </a:endParaRPr>
        </a:p>
      </xdr:txBody>
    </xdr:sp>
    <xdr:clientData/>
  </xdr:twoCellAnchor>
  <xdr:twoCellAnchor>
    <xdr:from>
      <xdr:col>10</xdr:col>
      <xdr:colOff>468630</xdr:colOff>
      <xdr:row>87</xdr:row>
      <xdr:rowOff>64770</xdr:rowOff>
    </xdr:from>
    <xdr:to>
      <xdr:col>17</xdr:col>
      <xdr:colOff>240030</xdr:colOff>
      <xdr:row>105</xdr:row>
      <xdr:rowOff>64771</xdr:rowOff>
    </xdr:to>
    <xdr:sp macro="" textlink="">
      <xdr:nvSpPr>
        <xdr:cNvPr id="32" name="Speech Bubble: Oval 31">
          <a:extLst>
            <a:ext uri="{FF2B5EF4-FFF2-40B4-BE49-F238E27FC236}">
              <a16:creationId xmlns:a16="http://schemas.microsoft.com/office/drawing/2014/main" id="{D33B3E6C-3331-4745-9AC1-E61932DE289B}"/>
            </a:ext>
          </a:extLst>
        </xdr:cNvPr>
        <xdr:cNvSpPr/>
      </xdr:nvSpPr>
      <xdr:spPr>
        <a:xfrm>
          <a:off x="6568440" y="16064865"/>
          <a:ext cx="4038600" cy="3257551"/>
        </a:xfrm>
        <a:prstGeom prst="wedgeEllipseCallou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ZA" sz="1600" b="1" baseline="0"/>
            <a:t>Sales by Time</a:t>
          </a:r>
        </a:p>
        <a:p>
          <a:pPr algn="l"/>
          <a:endParaRPr lang="en-ZA" sz="1100" baseline="0"/>
        </a:p>
        <a:p>
          <a:pPr algn="l"/>
          <a:r>
            <a:rPr lang="en-ZA" sz="1200" b="1" baseline="0">
              <a:solidFill>
                <a:schemeClr val="bg1"/>
              </a:solidFill>
            </a:rPr>
            <a:t>Insights</a:t>
          </a:r>
        </a:p>
        <a:p>
          <a:pPr algn="l"/>
          <a:r>
            <a:rPr lang="en-ZA" sz="1100" b="0" baseline="0">
              <a:solidFill>
                <a:schemeClr val="bg1"/>
              </a:solidFill>
              <a:latin typeface="Arial" panose="020B0604020202020204" pitchFamily="34" charset="0"/>
              <a:cs typeface="Arial" panose="020B0604020202020204" pitchFamily="34" charset="0"/>
            </a:rPr>
            <a:t>Afternoon generates the highest revenue and </a:t>
          </a:r>
          <a:r>
            <a:rPr lang="en-ZA"/>
            <a:t>is the strongest time of day and hour 13:00 is the peak hour.</a:t>
          </a:r>
        </a:p>
        <a:p>
          <a:pPr algn="l"/>
          <a:endParaRPr lang="en-ZA"/>
        </a:p>
        <a:p>
          <a:pPr algn="l"/>
          <a:r>
            <a:rPr lang="en-ZA" sz="1200" b="1"/>
            <a:t>Recommendations</a:t>
          </a:r>
          <a:endParaRPr lang="en-ZA" sz="1200"/>
        </a:p>
        <a:p>
          <a:pPr algn="l"/>
          <a:r>
            <a:rPr lang="en-ZA" sz="1200"/>
            <a:t>Have more staff available during busy hours.</a:t>
          </a:r>
        </a:p>
        <a:p>
          <a:pPr algn="l"/>
          <a:r>
            <a:rPr lang="en-ZA"/>
            <a:t>Run discounts or specials during quiet times to attract more customers</a:t>
          </a:r>
        </a:p>
        <a:p>
          <a:pPr algn="l"/>
          <a:r>
            <a:rPr lang="en-ZA"/>
            <a:t>Make sure popular products are always available during peak hours.</a:t>
          </a:r>
          <a:endParaRPr lang="en-ZA" sz="1100" b="1" baseline="0">
            <a:solidFill>
              <a:schemeClr val="bg1"/>
            </a:solidFill>
          </a:endParaRPr>
        </a:p>
        <a:p>
          <a:pPr algn="l"/>
          <a:endParaRPr lang="en-ZA" sz="1100" b="1" baseline="0">
            <a:solidFill>
              <a:schemeClr val="bg1"/>
            </a:solidFill>
          </a:endParaRPr>
        </a:p>
        <a:p>
          <a:pPr algn="l"/>
          <a:endParaRPr lang="en-ZA" sz="1100" b="1" baseline="0">
            <a:solidFill>
              <a:schemeClr val="bg1"/>
            </a:solidFill>
          </a:endParaRPr>
        </a:p>
        <a:p>
          <a:pPr algn="l"/>
          <a:endParaRPr lang="en-ZA" sz="1100" b="1">
            <a:solidFill>
              <a:schemeClr val="bg1"/>
            </a:solidFill>
          </a:endParaRPr>
        </a:p>
      </xdr:txBody>
    </xdr:sp>
    <xdr:clientData/>
  </xdr:twoCellAnchor>
  <xdr:twoCellAnchor>
    <xdr:from>
      <xdr:col>3</xdr:col>
      <xdr:colOff>262890</xdr:colOff>
      <xdr:row>86</xdr:row>
      <xdr:rowOff>59055</xdr:rowOff>
    </xdr:from>
    <xdr:to>
      <xdr:col>10</xdr:col>
      <xdr:colOff>150495</xdr:colOff>
      <xdr:row>105</xdr:row>
      <xdr:rowOff>177165</xdr:rowOff>
    </xdr:to>
    <xdr:sp macro="" textlink="">
      <xdr:nvSpPr>
        <xdr:cNvPr id="33" name="Speech Bubble: Oval 32">
          <a:extLst>
            <a:ext uri="{FF2B5EF4-FFF2-40B4-BE49-F238E27FC236}">
              <a16:creationId xmlns:a16="http://schemas.microsoft.com/office/drawing/2014/main" id="{8F3CED2A-463E-4D72-8970-1B289AE48013}"/>
            </a:ext>
          </a:extLst>
        </xdr:cNvPr>
        <xdr:cNvSpPr/>
      </xdr:nvSpPr>
      <xdr:spPr>
        <a:xfrm>
          <a:off x="2091690" y="15876270"/>
          <a:ext cx="4154805" cy="3556635"/>
        </a:xfrm>
        <a:prstGeom prst="wedgeEllipseCallou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ZA" sz="1600" b="1"/>
            <a:t>Revenue</a:t>
          </a:r>
          <a:r>
            <a:rPr lang="en-ZA" sz="1600" b="1" baseline="0"/>
            <a:t> Performance</a:t>
          </a:r>
        </a:p>
        <a:p>
          <a:pPr algn="l"/>
          <a:endParaRPr lang="en-ZA" sz="1100" baseline="0"/>
        </a:p>
        <a:p>
          <a:pPr algn="l"/>
          <a:r>
            <a:rPr lang="en-ZA" sz="1200" b="1" baseline="0">
              <a:solidFill>
                <a:schemeClr val="bg1"/>
              </a:solidFill>
            </a:rPr>
            <a:t>Insights</a:t>
          </a:r>
        </a:p>
        <a:p>
          <a:pPr algn="l"/>
          <a:endParaRPr lang="en-ZA" sz="1100" b="1" baseline="0">
            <a:solidFill>
              <a:schemeClr val="bg1"/>
            </a:solidFill>
          </a:endParaRPr>
        </a:p>
        <a:p>
          <a:pPr algn="l"/>
          <a:r>
            <a:rPr lang="en-ZA"/>
            <a:t>Some products are selling much better than others</a:t>
          </a:r>
          <a:r>
            <a:rPr lang="en-ZA" baseline="0"/>
            <a:t> while </a:t>
          </a:r>
          <a:r>
            <a:rPr lang="en-ZA"/>
            <a:t> few products are not selling well and may need attention</a:t>
          </a:r>
        </a:p>
        <a:p>
          <a:pPr algn="l"/>
          <a:endParaRPr lang="en-ZA"/>
        </a:p>
        <a:p>
          <a:pPr algn="l"/>
          <a:r>
            <a:rPr lang="en-ZA" sz="1200" b="1"/>
            <a:t>Recommendations</a:t>
          </a:r>
        </a:p>
        <a:p>
          <a:pPr algn="l"/>
          <a:r>
            <a:rPr lang="en-ZA" sz="1200"/>
            <a:t>Promote the products that customers already love.</a:t>
          </a:r>
        </a:p>
        <a:p>
          <a:pPr algn="l"/>
          <a:r>
            <a:rPr lang="en-ZA" sz="1200"/>
            <a:t>Offer special deals on products that don't sell often</a:t>
          </a:r>
          <a:r>
            <a:rPr lang="en-ZA" sz="1200" baseline="0"/>
            <a:t> and </a:t>
          </a:r>
          <a:r>
            <a:rPr lang="en-ZA" sz="1200"/>
            <a:t>Review products with low sales to see if they should be improved or removed.</a:t>
          </a:r>
        </a:p>
        <a:p>
          <a:pPr algn="l"/>
          <a:endParaRPr lang="en-ZA" sz="1200" b="1"/>
        </a:p>
        <a:p>
          <a:pPr algn="l"/>
          <a:endParaRPr lang="en-ZA"/>
        </a:p>
        <a:p>
          <a:pPr algn="l"/>
          <a:endParaRPr lang="en-ZA" sz="1100" b="1" baseline="0">
            <a:solidFill>
              <a:schemeClr val="bg1"/>
            </a:solidFill>
          </a:endParaRPr>
        </a:p>
        <a:p>
          <a:pPr algn="l"/>
          <a:endParaRPr lang="en-ZA" sz="1100" b="1" baseline="0">
            <a:solidFill>
              <a:schemeClr val="bg1"/>
            </a:solidFill>
          </a:endParaRPr>
        </a:p>
        <a:p>
          <a:pPr algn="l"/>
          <a:endParaRPr lang="en-ZA" sz="1100" b="1" baseline="0">
            <a:solidFill>
              <a:schemeClr val="bg1"/>
            </a:solidFill>
          </a:endParaRPr>
        </a:p>
        <a:p>
          <a:pPr algn="l"/>
          <a:endParaRPr lang="en-ZA" sz="1100" b="1">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19050</xdr:colOff>
      <xdr:row>1</xdr:row>
      <xdr:rowOff>161925</xdr:rowOff>
    </xdr:from>
    <xdr:to>
      <xdr:col>20</xdr:col>
      <xdr:colOff>300990</xdr:colOff>
      <xdr:row>3</xdr:row>
      <xdr:rowOff>100965</xdr:rowOff>
    </xdr:to>
    <xdr:sp macro="" textlink="">
      <xdr:nvSpPr>
        <xdr:cNvPr id="2" name="TextBox 1">
          <a:extLst>
            <a:ext uri="{FF2B5EF4-FFF2-40B4-BE49-F238E27FC236}">
              <a16:creationId xmlns:a16="http://schemas.microsoft.com/office/drawing/2014/main" id="{6C56DC3E-1570-4E84-B314-6A6A56A33B4F}"/>
            </a:ext>
          </a:extLst>
        </xdr:cNvPr>
        <xdr:cNvSpPr txBox="1"/>
      </xdr:nvSpPr>
      <xdr:spPr>
        <a:xfrm>
          <a:off x="4895850" y="342900"/>
          <a:ext cx="7597140" cy="300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800" b="1"/>
            <a:t>BRIGHT Coffee</a:t>
          </a:r>
          <a:r>
            <a:rPr lang="en-ZA" sz="1800" b="1" baseline="0"/>
            <a:t> Analysis</a:t>
          </a:r>
          <a:endParaRPr lang="en-ZA" sz="1800" b="1"/>
        </a:p>
      </xdr:txBody>
    </xdr:sp>
    <xdr:clientData/>
  </xdr:twoCellAnchor>
  <xdr:twoCellAnchor>
    <xdr:from>
      <xdr:col>3</xdr:col>
      <xdr:colOff>211455</xdr:colOff>
      <xdr:row>5</xdr:row>
      <xdr:rowOff>173355</xdr:rowOff>
    </xdr:from>
    <xdr:to>
      <xdr:col>9</xdr:col>
      <xdr:colOff>502920</xdr:colOff>
      <xdr:row>11</xdr:row>
      <xdr:rowOff>161925</xdr:rowOff>
    </xdr:to>
    <xdr:sp macro="" textlink="">
      <xdr:nvSpPr>
        <xdr:cNvPr id="4" name="Rectangle: Rounded Corners 3">
          <a:extLst>
            <a:ext uri="{FF2B5EF4-FFF2-40B4-BE49-F238E27FC236}">
              <a16:creationId xmlns:a16="http://schemas.microsoft.com/office/drawing/2014/main" id="{1FB4D079-6F49-4B5B-A3DB-8FBDAC49B29B}"/>
            </a:ext>
          </a:extLst>
        </xdr:cNvPr>
        <xdr:cNvSpPr/>
      </xdr:nvSpPr>
      <xdr:spPr>
        <a:xfrm>
          <a:off x="2040255" y="1078230"/>
          <a:ext cx="3949065" cy="1074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xdr:col>
      <xdr:colOff>335280</xdr:colOff>
      <xdr:row>6</xdr:row>
      <xdr:rowOff>120015</xdr:rowOff>
    </xdr:from>
    <xdr:to>
      <xdr:col>5</xdr:col>
      <xdr:colOff>581025</xdr:colOff>
      <xdr:row>8</xdr:row>
      <xdr:rowOff>68580</xdr:rowOff>
    </xdr:to>
    <xdr:sp macro="" textlink="">
      <xdr:nvSpPr>
        <xdr:cNvPr id="6" name="TextBox 5">
          <a:extLst>
            <a:ext uri="{FF2B5EF4-FFF2-40B4-BE49-F238E27FC236}">
              <a16:creationId xmlns:a16="http://schemas.microsoft.com/office/drawing/2014/main" id="{4F6D466B-90A6-4FC6-8C9F-B7A4DE62E6E1}"/>
            </a:ext>
          </a:extLst>
        </xdr:cNvPr>
        <xdr:cNvSpPr txBox="1"/>
      </xdr:nvSpPr>
      <xdr:spPr>
        <a:xfrm>
          <a:off x="2164080" y="1205865"/>
          <a:ext cx="1464945" cy="310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Product</a:t>
          </a:r>
          <a:r>
            <a:rPr lang="en-ZA" sz="1400" b="1" baseline="0"/>
            <a:t> Category </a:t>
          </a:r>
          <a:endParaRPr lang="en-ZA" sz="1400" b="1"/>
        </a:p>
      </xdr:txBody>
    </xdr:sp>
    <xdr:clientData/>
  </xdr:twoCellAnchor>
  <xdr:twoCellAnchor>
    <xdr:from>
      <xdr:col>6</xdr:col>
      <xdr:colOff>449580</xdr:colOff>
      <xdr:row>6</xdr:row>
      <xdr:rowOff>112395</xdr:rowOff>
    </xdr:from>
    <xdr:to>
      <xdr:col>9</xdr:col>
      <xdr:colOff>85725</xdr:colOff>
      <xdr:row>8</xdr:row>
      <xdr:rowOff>62865</xdr:rowOff>
    </xdr:to>
    <xdr:sp macro="" textlink="">
      <xdr:nvSpPr>
        <xdr:cNvPr id="7" name="TextBox 6">
          <a:extLst>
            <a:ext uri="{FF2B5EF4-FFF2-40B4-BE49-F238E27FC236}">
              <a16:creationId xmlns:a16="http://schemas.microsoft.com/office/drawing/2014/main" id="{D792DACE-49ED-4799-ADB0-38F9B673CB89}"/>
            </a:ext>
          </a:extLst>
        </xdr:cNvPr>
        <xdr:cNvSpPr txBox="1"/>
      </xdr:nvSpPr>
      <xdr:spPr>
        <a:xfrm>
          <a:off x="4107180" y="1198245"/>
          <a:ext cx="1464945"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Quantity</a:t>
          </a:r>
          <a:r>
            <a:rPr lang="en-ZA" sz="1400" b="1" baseline="0"/>
            <a:t> Sold</a:t>
          </a:r>
          <a:endParaRPr lang="en-ZA" sz="1400" b="1"/>
        </a:p>
      </xdr:txBody>
    </xdr:sp>
    <xdr:clientData/>
  </xdr:twoCellAnchor>
  <xdr:twoCellAnchor>
    <xdr:from>
      <xdr:col>4</xdr:col>
      <xdr:colOff>367665</xdr:colOff>
      <xdr:row>9</xdr:row>
      <xdr:rowOff>148590</xdr:rowOff>
    </xdr:from>
    <xdr:to>
      <xdr:col>8</xdr:col>
      <xdr:colOff>238125</xdr:colOff>
      <xdr:row>11</xdr:row>
      <xdr:rowOff>97155</xdr:rowOff>
    </xdr:to>
    <xdr:sp macro="" textlink="">
      <xdr:nvSpPr>
        <xdr:cNvPr id="8" name="TextBox 7">
          <a:extLst>
            <a:ext uri="{FF2B5EF4-FFF2-40B4-BE49-F238E27FC236}">
              <a16:creationId xmlns:a16="http://schemas.microsoft.com/office/drawing/2014/main" id="{A3F86860-0743-445B-AFE1-79D9D127A12C}"/>
            </a:ext>
          </a:extLst>
        </xdr:cNvPr>
        <xdr:cNvSpPr txBox="1"/>
      </xdr:nvSpPr>
      <xdr:spPr>
        <a:xfrm>
          <a:off x="2806065" y="1777365"/>
          <a:ext cx="2308860" cy="310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Product</a:t>
          </a:r>
          <a:r>
            <a:rPr lang="en-ZA" sz="1400" b="1" baseline="0"/>
            <a:t> Type</a:t>
          </a:r>
          <a:endParaRPr lang="en-ZA" sz="1400" b="1"/>
        </a:p>
      </xdr:txBody>
    </xdr:sp>
    <xdr:clientData/>
  </xdr:twoCellAnchor>
  <xdr:twoCellAnchor>
    <xdr:from>
      <xdr:col>14</xdr:col>
      <xdr:colOff>588645</xdr:colOff>
      <xdr:row>6</xdr:row>
      <xdr:rowOff>57150</xdr:rowOff>
    </xdr:from>
    <xdr:to>
      <xdr:col>21</xdr:col>
      <xdr:colOff>268605</xdr:colOff>
      <xdr:row>12</xdr:row>
      <xdr:rowOff>45720</xdr:rowOff>
    </xdr:to>
    <xdr:sp macro="" textlink="">
      <xdr:nvSpPr>
        <xdr:cNvPr id="11" name="Rectangle: Rounded Corners 10">
          <a:extLst>
            <a:ext uri="{FF2B5EF4-FFF2-40B4-BE49-F238E27FC236}">
              <a16:creationId xmlns:a16="http://schemas.microsoft.com/office/drawing/2014/main" id="{0AC6854F-25DE-42C7-9C40-8A6E4CAF015E}"/>
            </a:ext>
          </a:extLst>
        </xdr:cNvPr>
        <xdr:cNvSpPr/>
      </xdr:nvSpPr>
      <xdr:spPr>
        <a:xfrm>
          <a:off x="9123045" y="1143000"/>
          <a:ext cx="3947160" cy="1074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14</xdr:col>
      <xdr:colOff>588645</xdr:colOff>
      <xdr:row>6</xdr:row>
      <xdr:rowOff>57150</xdr:rowOff>
    </xdr:from>
    <xdr:to>
      <xdr:col>21</xdr:col>
      <xdr:colOff>260985</xdr:colOff>
      <xdr:row>12</xdr:row>
      <xdr:rowOff>43815</xdr:rowOff>
    </xdr:to>
    <xdr:sp macro="" textlink="">
      <xdr:nvSpPr>
        <xdr:cNvPr id="12" name="Rectangle: Rounded Corners 11">
          <a:extLst>
            <a:ext uri="{FF2B5EF4-FFF2-40B4-BE49-F238E27FC236}">
              <a16:creationId xmlns:a16="http://schemas.microsoft.com/office/drawing/2014/main" id="{5429245F-59C5-4344-B66C-6124597D6B07}"/>
            </a:ext>
          </a:extLst>
        </xdr:cNvPr>
        <xdr:cNvSpPr/>
      </xdr:nvSpPr>
      <xdr:spPr>
        <a:xfrm>
          <a:off x="9123045" y="1143000"/>
          <a:ext cx="3939540" cy="10725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15</xdr:col>
      <xdr:colOff>15240</xdr:colOff>
      <xdr:row>6</xdr:row>
      <xdr:rowOff>68580</xdr:rowOff>
    </xdr:from>
    <xdr:to>
      <xdr:col>21</xdr:col>
      <xdr:colOff>283845</xdr:colOff>
      <xdr:row>12</xdr:row>
      <xdr:rowOff>68580</xdr:rowOff>
    </xdr:to>
    <xdr:sp macro="" textlink="">
      <xdr:nvSpPr>
        <xdr:cNvPr id="13" name="Rectangle: Rounded Corners 12">
          <a:extLst>
            <a:ext uri="{FF2B5EF4-FFF2-40B4-BE49-F238E27FC236}">
              <a16:creationId xmlns:a16="http://schemas.microsoft.com/office/drawing/2014/main" id="{4D70B248-D11D-4D5A-90C2-8F4A0B20B232}"/>
            </a:ext>
          </a:extLst>
        </xdr:cNvPr>
        <xdr:cNvSpPr/>
      </xdr:nvSpPr>
      <xdr:spPr>
        <a:xfrm>
          <a:off x="9159240" y="1154430"/>
          <a:ext cx="3926205" cy="1085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15</xdr:col>
      <xdr:colOff>144780</xdr:colOff>
      <xdr:row>7</xdr:row>
      <xdr:rowOff>15240</xdr:rowOff>
    </xdr:from>
    <xdr:to>
      <xdr:col>17</xdr:col>
      <xdr:colOff>398145</xdr:colOff>
      <xdr:row>8</xdr:row>
      <xdr:rowOff>142875</xdr:rowOff>
    </xdr:to>
    <xdr:sp macro="" textlink="">
      <xdr:nvSpPr>
        <xdr:cNvPr id="14" name="TextBox 13">
          <a:extLst>
            <a:ext uri="{FF2B5EF4-FFF2-40B4-BE49-F238E27FC236}">
              <a16:creationId xmlns:a16="http://schemas.microsoft.com/office/drawing/2014/main" id="{AE3F4090-0B64-4AD5-A4F4-58901ABDA2CF}"/>
            </a:ext>
          </a:extLst>
        </xdr:cNvPr>
        <xdr:cNvSpPr txBox="1"/>
      </xdr:nvSpPr>
      <xdr:spPr>
        <a:xfrm>
          <a:off x="9288780" y="1282065"/>
          <a:ext cx="1472565" cy="30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Transaction</a:t>
          </a:r>
          <a:r>
            <a:rPr lang="en-ZA" sz="1400" b="1" baseline="0"/>
            <a:t> Id</a:t>
          </a:r>
          <a:endParaRPr lang="en-ZA" sz="1400" b="1"/>
        </a:p>
      </xdr:txBody>
    </xdr:sp>
    <xdr:clientData/>
  </xdr:twoCellAnchor>
  <xdr:twoCellAnchor>
    <xdr:from>
      <xdr:col>18</xdr:col>
      <xdr:colOff>259080</xdr:colOff>
      <xdr:row>7</xdr:row>
      <xdr:rowOff>24765</xdr:rowOff>
    </xdr:from>
    <xdr:to>
      <xdr:col>20</xdr:col>
      <xdr:colOff>512445</xdr:colOff>
      <xdr:row>8</xdr:row>
      <xdr:rowOff>152400</xdr:rowOff>
    </xdr:to>
    <xdr:sp macro="" textlink="">
      <xdr:nvSpPr>
        <xdr:cNvPr id="16" name="TextBox 15">
          <a:extLst>
            <a:ext uri="{FF2B5EF4-FFF2-40B4-BE49-F238E27FC236}">
              <a16:creationId xmlns:a16="http://schemas.microsoft.com/office/drawing/2014/main" id="{D15BCA40-F95E-4A58-B9E3-A509D2D39778}"/>
            </a:ext>
          </a:extLst>
        </xdr:cNvPr>
        <xdr:cNvSpPr txBox="1"/>
      </xdr:nvSpPr>
      <xdr:spPr>
        <a:xfrm>
          <a:off x="11231880" y="1291590"/>
          <a:ext cx="1472565" cy="30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Revenue</a:t>
          </a:r>
        </a:p>
      </xdr:txBody>
    </xdr:sp>
    <xdr:clientData/>
  </xdr:twoCellAnchor>
  <xdr:twoCellAnchor>
    <xdr:from>
      <xdr:col>16</xdr:col>
      <xdr:colOff>497205</xdr:colOff>
      <xdr:row>9</xdr:row>
      <xdr:rowOff>158115</xdr:rowOff>
    </xdr:from>
    <xdr:to>
      <xdr:col>19</xdr:col>
      <xdr:colOff>140970</xdr:colOff>
      <xdr:row>11</xdr:row>
      <xdr:rowOff>104775</xdr:rowOff>
    </xdr:to>
    <xdr:sp macro="" textlink="">
      <xdr:nvSpPr>
        <xdr:cNvPr id="17" name="TextBox 16">
          <a:extLst>
            <a:ext uri="{FF2B5EF4-FFF2-40B4-BE49-F238E27FC236}">
              <a16:creationId xmlns:a16="http://schemas.microsoft.com/office/drawing/2014/main" id="{D9355C4A-791F-46D9-994A-2739D9CFC059}"/>
            </a:ext>
          </a:extLst>
        </xdr:cNvPr>
        <xdr:cNvSpPr txBox="1"/>
      </xdr:nvSpPr>
      <xdr:spPr>
        <a:xfrm>
          <a:off x="10250805" y="1786890"/>
          <a:ext cx="1472565" cy="30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Month</a:t>
          </a:r>
        </a:p>
      </xdr:txBody>
    </xdr:sp>
    <xdr:clientData/>
  </xdr:twoCellAnchor>
  <xdr:twoCellAnchor>
    <xdr:from>
      <xdr:col>3</xdr:col>
      <xdr:colOff>95249</xdr:colOff>
      <xdr:row>15</xdr:row>
      <xdr:rowOff>167640</xdr:rowOff>
    </xdr:from>
    <xdr:to>
      <xdr:col>26</xdr:col>
      <xdr:colOff>161925</xdr:colOff>
      <xdr:row>35</xdr:row>
      <xdr:rowOff>19050</xdr:rowOff>
    </xdr:to>
    <xdr:sp macro="" textlink="">
      <xdr:nvSpPr>
        <xdr:cNvPr id="18" name="Rectangle 17">
          <a:extLst>
            <a:ext uri="{FF2B5EF4-FFF2-40B4-BE49-F238E27FC236}">
              <a16:creationId xmlns:a16="http://schemas.microsoft.com/office/drawing/2014/main" id="{8011C967-E73D-7938-B482-F263EFADF6BA}"/>
            </a:ext>
          </a:extLst>
        </xdr:cNvPr>
        <xdr:cNvSpPr/>
      </xdr:nvSpPr>
      <xdr:spPr>
        <a:xfrm>
          <a:off x="1924049" y="2967990"/>
          <a:ext cx="14087476" cy="34709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400" b="1"/>
            <a:t>                                         Total Revenue by Product Category</a:t>
          </a:r>
          <a:r>
            <a:rPr lang="en-ZA" sz="1400" b="1" baseline="0"/>
            <a:t>                                                       Quantity Sold by Revenue                                                                                          Total Revenue by Product Type</a:t>
          </a:r>
          <a:endParaRPr lang="en-ZA" sz="1400" b="1"/>
        </a:p>
      </xdr:txBody>
    </xdr:sp>
    <xdr:clientData/>
  </xdr:twoCellAnchor>
  <xdr:twoCellAnchor>
    <xdr:from>
      <xdr:col>3</xdr:col>
      <xdr:colOff>344806</xdr:colOff>
      <xdr:row>17</xdr:row>
      <xdr:rowOff>125729</xdr:rowOff>
    </xdr:from>
    <xdr:to>
      <xdr:col>10</xdr:col>
      <xdr:colOff>268605</xdr:colOff>
      <xdr:row>33</xdr:row>
      <xdr:rowOff>55244</xdr:rowOff>
    </xdr:to>
    <xdr:graphicFrame macro="">
      <xdr:nvGraphicFramePr>
        <xdr:cNvPr id="19" name="Chart 18">
          <a:extLst>
            <a:ext uri="{FF2B5EF4-FFF2-40B4-BE49-F238E27FC236}">
              <a16:creationId xmlns:a16="http://schemas.microsoft.com/office/drawing/2014/main" id="{65F06B86-D3D9-491D-90D2-81007682B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17</xdr:row>
      <xdr:rowOff>97155</xdr:rowOff>
    </xdr:from>
    <xdr:to>
      <xdr:col>18</xdr:col>
      <xdr:colOff>432434</xdr:colOff>
      <xdr:row>32</xdr:row>
      <xdr:rowOff>131445</xdr:rowOff>
    </xdr:to>
    <xdr:graphicFrame macro="">
      <xdr:nvGraphicFramePr>
        <xdr:cNvPr id="20" name="Chart 19">
          <a:extLst>
            <a:ext uri="{FF2B5EF4-FFF2-40B4-BE49-F238E27FC236}">
              <a16:creationId xmlns:a16="http://schemas.microsoft.com/office/drawing/2014/main" id="{DA8FE46B-E189-4EA3-B1DC-B5C6BD3F0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514349</xdr:colOff>
      <xdr:row>17</xdr:row>
      <xdr:rowOff>114300</xdr:rowOff>
    </xdr:from>
    <xdr:to>
      <xdr:col>25</xdr:col>
      <xdr:colOff>340994</xdr:colOff>
      <xdr:row>32</xdr:row>
      <xdr:rowOff>87630</xdr:rowOff>
    </xdr:to>
    <xdr:graphicFrame macro="">
      <xdr:nvGraphicFramePr>
        <xdr:cNvPr id="21" name="Chart 20">
          <a:extLst>
            <a:ext uri="{FF2B5EF4-FFF2-40B4-BE49-F238E27FC236}">
              <a16:creationId xmlns:a16="http://schemas.microsoft.com/office/drawing/2014/main" id="{2846EE62-018A-4B78-9B93-CC201D376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43815</xdr:colOff>
      <xdr:row>37</xdr:row>
      <xdr:rowOff>97155</xdr:rowOff>
    </xdr:from>
    <xdr:to>
      <xdr:col>26</xdr:col>
      <xdr:colOff>45720</xdr:colOff>
      <xdr:row>57</xdr:row>
      <xdr:rowOff>9525</xdr:rowOff>
    </xdr:to>
    <xdr:sp macro="" textlink="">
      <xdr:nvSpPr>
        <xdr:cNvPr id="22" name="Rectangle 21">
          <a:extLst>
            <a:ext uri="{FF2B5EF4-FFF2-40B4-BE49-F238E27FC236}">
              <a16:creationId xmlns:a16="http://schemas.microsoft.com/office/drawing/2014/main" id="{5B7E1743-96B5-4F06-A00E-A119AE51F917}"/>
            </a:ext>
          </a:extLst>
        </xdr:cNvPr>
        <xdr:cNvSpPr/>
      </xdr:nvSpPr>
      <xdr:spPr>
        <a:xfrm>
          <a:off x="1872615" y="6926580"/>
          <a:ext cx="14022705" cy="3531870"/>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ZA" sz="1400" b="1"/>
            <a:t>                                               Total Revenue by Product Category</a:t>
          </a:r>
          <a:r>
            <a:rPr lang="en-ZA" sz="1400" b="1" baseline="0"/>
            <a:t>                                                       Quantity Sold by Revenue                                                                                           Total Revenue by Product Type</a:t>
          </a:r>
          <a:endParaRPr lang="en-ZA" sz="1400" b="1"/>
        </a:p>
      </xdr:txBody>
    </xdr:sp>
    <xdr:clientData/>
  </xdr:twoCellAnchor>
  <xdr:twoCellAnchor>
    <xdr:from>
      <xdr:col>3</xdr:col>
      <xdr:colOff>323850</xdr:colOff>
      <xdr:row>39</xdr:row>
      <xdr:rowOff>139065</xdr:rowOff>
    </xdr:from>
    <xdr:to>
      <xdr:col>11</xdr:col>
      <xdr:colOff>22859</xdr:colOff>
      <xdr:row>56</xdr:row>
      <xdr:rowOff>0</xdr:rowOff>
    </xdr:to>
    <xdr:graphicFrame macro="">
      <xdr:nvGraphicFramePr>
        <xdr:cNvPr id="24" name="Revenue by Category">
          <a:extLst>
            <a:ext uri="{FF2B5EF4-FFF2-40B4-BE49-F238E27FC236}">
              <a16:creationId xmlns:a16="http://schemas.microsoft.com/office/drawing/2014/main" id="{307152C2-3ED0-4743-994F-A5AFAE6A6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59054</xdr:colOff>
      <xdr:row>39</xdr:row>
      <xdr:rowOff>133350</xdr:rowOff>
    </xdr:from>
    <xdr:to>
      <xdr:col>18</xdr:col>
      <xdr:colOff>567690</xdr:colOff>
      <xdr:row>55</xdr:row>
      <xdr:rowOff>161925</xdr:rowOff>
    </xdr:to>
    <xdr:graphicFrame macro="">
      <xdr:nvGraphicFramePr>
        <xdr:cNvPr id="25" name="Revenue by Time of Day">
          <a:extLst>
            <a:ext uri="{FF2B5EF4-FFF2-40B4-BE49-F238E27FC236}">
              <a16:creationId xmlns:a16="http://schemas.microsoft.com/office/drawing/2014/main" id="{6D75925F-422F-430E-AF83-96612D993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598170</xdr:colOff>
      <xdr:row>60</xdr:row>
      <xdr:rowOff>28575</xdr:rowOff>
    </xdr:from>
    <xdr:to>
      <xdr:col>26</xdr:col>
      <xdr:colOff>152400</xdr:colOff>
      <xdr:row>79</xdr:row>
      <xdr:rowOff>125730</xdr:rowOff>
    </xdr:to>
    <xdr:sp macro="" textlink="">
      <xdr:nvSpPr>
        <xdr:cNvPr id="26" name="Rectangle 25">
          <a:extLst>
            <a:ext uri="{FF2B5EF4-FFF2-40B4-BE49-F238E27FC236}">
              <a16:creationId xmlns:a16="http://schemas.microsoft.com/office/drawing/2014/main" id="{B750C275-CBF5-4F06-84AB-06083C43FE42}"/>
            </a:ext>
          </a:extLst>
        </xdr:cNvPr>
        <xdr:cNvSpPr/>
      </xdr:nvSpPr>
      <xdr:spPr>
        <a:xfrm>
          <a:off x="1817370" y="11058525"/>
          <a:ext cx="14184630" cy="3535680"/>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ZA" sz="1400" b="1"/>
            <a:t>                                              </a:t>
          </a:r>
          <a:r>
            <a:rPr lang="en-ZA" sz="1400" b="1" baseline="0"/>
            <a:t>                                                      </a:t>
          </a:r>
          <a:endParaRPr lang="en-ZA" sz="1400" b="1"/>
        </a:p>
      </xdr:txBody>
    </xdr:sp>
    <xdr:clientData/>
  </xdr:twoCellAnchor>
  <xdr:twoCellAnchor>
    <xdr:from>
      <xdr:col>3</xdr:col>
      <xdr:colOff>430530</xdr:colOff>
      <xdr:row>60</xdr:row>
      <xdr:rowOff>140970</xdr:rowOff>
    </xdr:from>
    <xdr:to>
      <xdr:col>12</xdr:col>
      <xdr:colOff>542925</xdr:colOff>
      <xdr:row>79</xdr:row>
      <xdr:rowOff>133349</xdr:rowOff>
    </xdr:to>
    <xdr:graphicFrame macro="">
      <xdr:nvGraphicFramePr>
        <xdr:cNvPr id="27" name="Top Product Types">
          <a:extLst>
            <a:ext uri="{FF2B5EF4-FFF2-40B4-BE49-F238E27FC236}">
              <a16:creationId xmlns:a16="http://schemas.microsoft.com/office/drawing/2014/main" id="{B9C8F872-9DFF-4E2C-B9C8-D488E0056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552450</xdr:colOff>
      <xdr:row>61</xdr:row>
      <xdr:rowOff>15240</xdr:rowOff>
    </xdr:from>
    <xdr:to>
      <xdr:col>21</xdr:col>
      <xdr:colOff>333376</xdr:colOff>
      <xdr:row>79</xdr:row>
      <xdr:rowOff>38100</xdr:rowOff>
    </xdr:to>
    <xdr:graphicFrame macro="">
      <xdr:nvGraphicFramePr>
        <xdr:cNvPr id="28" name="Category Revenue Chart">
          <a:extLst>
            <a:ext uri="{FF2B5EF4-FFF2-40B4-BE49-F238E27FC236}">
              <a16:creationId xmlns:a16="http://schemas.microsoft.com/office/drawing/2014/main" id="{BF3E4117-1831-456C-9FDD-4777825F5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53340</xdr:colOff>
      <xdr:row>39</xdr:row>
      <xdr:rowOff>95250</xdr:rowOff>
    </xdr:from>
    <xdr:to>
      <xdr:col>25</xdr:col>
      <xdr:colOff>434340</xdr:colOff>
      <xdr:row>55</xdr:row>
      <xdr:rowOff>171449</xdr:rowOff>
    </xdr:to>
    <xdr:graphicFrame macro="">
      <xdr:nvGraphicFramePr>
        <xdr:cNvPr id="29" name="Hourly Revenue Trend">
          <a:extLst>
            <a:ext uri="{FF2B5EF4-FFF2-40B4-BE49-F238E27FC236}">
              <a16:creationId xmlns:a16="http://schemas.microsoft.com/office/drawing/2014/main" id="{1F06E6B8-3605-4D59-975C-1A0658F16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68580</xdr:colOff>
      <xdr:row>16</xdr:row>
      <xdr:rowOff>74295</xdr:rowOff>
    </xdr:from>
    <xdr:to>
      <xdr:col>2</xdr:col>
      <xdr:colOff>592455</xdr:colOff>
      <xdr:row>30</xdr:row>
      <xdr:rowOff>133350</xdr:rowOff>
    </xdr:to>
    <mc:AlternateContent xmlns:mc="http://schemas.openxmlformats.org/markup-compatibility/2006" xmlns:a14="http://schemas.microsoft.com/office/drawing/2010/main">
      <mc:Choice Requires="a14">
        <xdr:graphicFrame macro="">
          <xdr:nvGraphicFramePr>
            <xdr:cNvPr id="30" name="product_category">
              <a:extLst>
                <a:ext uri="{FF2B5EF4-FFF2-40B4-BE49-F238E27FC236}">
                  <a16:creationId xmlns:a16="http://schemas.microsoft.com/office/drawing/2014/main" id="{FA1AA6D9-EE44-98C9-8263-8EAD2C444174}"/>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66675" y="3055620"/>
              <a:ext cx="1750695" cy="259270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97155</xdr:colOff>
      <xdr:row>32</xdr:row>
      <xdr:rowOff>59055</xdr:rowOff>
    </xdr:from>
    <xdr:to>
      <xdr:col>2</xdr:col>
      <xdr:colOff>474345</xdr:colOff>
      <xdr:row>46</xdr:row>
      <xdr:rowOff>59055</xdr:rowOff>
    </xdr:to>
    <mc:AlternateContent xmlns:mc="http://schemas.openxmlformats.org/markup-compatibility/2006" xmlns:a14="http://schemas.microsoft.com/office/drawing/2010/main">
      <mc:Choice Requires="a14">
        <xdr:graphicFrame macro="">
          <xdr:nvGraphicFramePr>
            <xdr:cNvPr id="32" name="product_type">
              <a:extLst>
                <a:ext uri="{FF2B5EF4-FFF2-40B4-BE49-F238E27FC236}">
                  <a16:creationId xmlns:a16="http://schemas.microsoft.com/office/drawing/2014/main" id="{000BF831-D7BD-6FF2-1BF3-A31C2C711244}"/>
                </a:ext>
              </a:extLst>
            </xdr:cNvPr>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mlns="">
        <xdr:sp macro="" textlink="">
          <xdr:nvSpPr>
            <xdr:cNvPr id="0" name=""/>
            <xdr:cNvSpPr>
              <a:spLocks noTextEdit="1"/>
            </xdr:cNvSpPr>
          </xdr:nvSpPr>
          <xdr:spPr>
            <a:xfrm>
              <a:off x="93345" y="5932170"/>
              <a:ext cx="1607820" cy="258508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47</xdr:row>
      <xdr:rowOff>53340</xdr:rowOff>
    </xdr:from>
    <xdr:to>
      <xdr:col>2</xdr:col>
      <xdr:colOff>398145</xdr:colOff>
      <xdr:row>61</xdr:row>
      <xdr:rowOff>55245</xdr:rowOff>
    </xdr:to>
    <mc:AlternateContent xmlns:mc="http://schemas.openxmlformats.org/markup-compatibility/2006" xmlns:a14="http://schemas.microsoft.com/office/drawing/2010/main">
      <mc:Choice Requires="a14">
        <xdr:graphicFrame macro="">
          <xdr:nvGraphicFramePr>
            <xdr:cNvPr id="33" name="transaction_id">
              <a:extLst>
                <a:ext uri="{FF2B5EF4-FFF2-40B4-BE49-F238E27FC236}">
                  <a16:creationId xmlns:a16="http://schemas.microsoft.com/office/drawing/2014/main" id="{93B78495-09A1-EB9B-B5F1-53E8802B1462}"/>
                </a:ext>
              </a:extLst>
            </xdr:cNvPr>
            <xdr:cNvGraphicFramePr/>
          </xdr:nvGraphicFramePr>
          <xdr:xfrm>
            <a:off x="0" y="0"/>
            <a:ext cx="0" cy="0"/>
          </xdr:xfrm>
          <a:graphic>
            <a:graphicData uri="http://schemas.microsoft.com/office/drawing/2010/slicer">
              <sle:slicer xmlns:sle="http://schemas.microsoft.com/office/drawing/2010/slicer" name="transaction_id"/>
            </a:graphicData>
          </a:graphic>
        </xdr:graphicFrame>
      </mc:Choice>
      <mc:Fallback xmlns="">
        <xdr:sp macro="" textlink="">
          <xdr:nvSpPr>
            <xdr:cNvPr id="0" name=""/>
            <xdr:cNvSpPr>
              <a:spLocks noTextEdit="1"/>
            </xdr:cNvSpPr>
          </xdr:nvSpPr>
          <xdr:spPr>
            <a:xfrm>
              <a:off x="0" y="8696325"/>
              <a:ext cx="1624965" cy="256984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361950</xdr:colOff>
      <xdr:row>61</xdr:row>
      <xdr:rowOff>5715</xdr:rowOff>
    </xdr:from>
    <xdr:to>
      <xdr:col>26</xdr:col>
      <xdr:colOff>91440</xdr:colOff>
      <xdr:row>79</xdr:row>
      <xdr:rowOff>66675</xdr:rowOff>
    </xdr:to>
    <xdr:graphicFrame macro="">
      <xdr:nvGraphicFramePr>
        <xdr:cNvPr id="34" name="Chart 33">
          <a:extLst>
            <a:ext uri="{FF2B5EF4-FFF2-40B4-BE49-F238E27FC236}">
              <a16:creationId xmlns:a16="http://schemas.microsoft.com/office/drawing/2014/main" id="{A589786D-ECE0-4563-A132-F579346E7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26</xdr:col>
      <xdr:colOff>215265</xdr:colOff>
      <xdr:row>16</xdr:row>
      <xdr:rowOff>7620</xdr:rowOff>
    </xdr:from>
    <xdr:to>
      <xdr:col>29</xdr:col>
      <xdr:colOff>211455</xdr:colOff>
      <xdr:row>30</xdr:row>
      <xdr:rowOff>59055</xdr:rowOff>
    </xdr:to>
    <mc:AlternateContent xmlns:mc="http://schemas.openxmlformats.org/markup-compatibility/2006" xmlns:a14="http://schemas.microsoft.com/office/drawing/2010/main">
      <mc:Choice Requires="a14">
        <xdr:graphicFrame macro="">
          <xdr:nvGraphicFramePr>
            <xdr:cNvPr id="35" name="store_location">
              <a:extLst>
                <a:ext uri="{FF2B5EF4-FFF2-40B4-BE49-F238E27FC236}">
                  <a16:creationId xmlns:a16="http://schemas.microsoft.com/office/drawing/2014/main" id="{8DF09925-D703-C4C6-F28B-C1CFDB452174}"/>
                </a:ext>
              </a:extLst>
            </xdr:cNvPr>
            <xdr:cNvGraphicFramePr/>
          </xdr:nvGraphicFramePr>
          <xdr:xfrm>
            <a:off x="0" y="0"/>
            <a:ext cx="0" cy="0"/>
          </xdr:xfrm>
          <a:graphic>
            <a:graphicData uri="http://schemas.microsoft.com/office/drawing/2010/slicer">
              <sle:slicer xmlns:sle="http://schemas.microsoft.com/office/drawing/2010/slicer" name="store_location"/>
            </a:graphicData>
          </a:graphic>
        </xdr:graphicFrame>
      </mc:Choice>
      <mc:Fallback xmlns="">
        <xdr:sp macro="" textlink="">
          <xdr:nvSpPr>
            <xdr:cNvPr id="0" name=""/>
            <xdr:cNvSpPr>
              <a:spLocks noTextEdit="1"/>
            </xdr:cNvSpPr>
          </xdr:nvSpPr>
          <xdr:spPr>
            <a:xfrm>
              <a:off x="16061055" y="2990850"/>
              <a:ext cx="1828800" cy="25831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163830</xdr:colOff>
      <xdr:row>32</xdr:row>
      <xdr:rowOff>161925</xdr:rowOff>
    </xdr:from>
    <xdr:to>
      <xdr:col>29</xdr:col>
      <xdr:colOff>167640</xdr:colOff>
      <xdr:row>46</xdr:row>
      <xdr:rowOff>167640</xdr:rowOff>
    </xdr:to>
    <mc:AlternateContent xmlns:mc="http://schemas.openxmlformats.org/markup-compatibility/2006" xmlns:a14="http://schemas.microsoft.com/office/drawing/2010/main">
      <mc:Choice Requires="a14">
        <xdr:graphicFrame macro="">
          <xdr:nvGraphicFramePr>
            <xdr:cNvPr id="36" name="store_id">
              <a:extLst>
                <a:ext uri="{FF2B5EF4-FFF2-40B4-BE49-F238E27FC236}">
                  <a16:creationId xmlns:a16="http://schemas.microsoft.com/office/drawing/2014/main" id="{9B68CCA2-84AB-4FD6-2583-67117818738E}"/>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16017240" y="6040755"/>
              <a:ext cx="1828800" cy="258508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84</xdr:row>
      <xdr:rowOff>49530</xdr:rowOff>
    </xdr:from>
    <xdr:to>
      <xdr:col>25</xdr:col>
      <xdr:colOff>417195</xdr:colOff>
      <xdr:row>108</xdr:row>
      <xdr:rowOff>152400</xdr:rowOff>
    </xdr:to>
    <xdr:sp macro="" textlink="">
      <xdr:nvSpPr>
        <xdr:cNvPr id="5" name="Rectangle 4">
          <a:extLst>
            <a:ext uri="{FF2B5EF4-FFF2-40B4-BE49-F238E27FC236}">
              <a16:creationId xmlns:a16="http://schemas.microsoft.com/office/drawing/2014/main" id="{B3057632-CF1F-4E4C-B02C-64324449D420}"/>
            </a:ext>
          </a:extLst>
        </xdr:cNvPr>
        <xdr:cNvSpPr/>
      </xdr:nvSpPr>
      <xdr:spPr>
        <a:xfrm>
          <a:off x="1466850" y="15422880"/>
          <a:ext cx="14190345" cy="453199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ZA" sz="1600" b="1"/>
            <a:t>                                              </a:t>
          </a:r>
          <a:r>
            <a:rPr lang="en-ZA" sz="1600" b="1" baseline="0"/>
            <a:t>    </a:t>
          </a:r>
          <a:r>
            <a:rPr lang="en-ZA" sz="2000" b="1" baseline="0"/>
            <a:t>Recommendations &amp; KPI                                                  </a:t>
          </a:r>
          <a:endParaRPr lang="en-ZA" sz="1600" b="1"/>
        </a:p>
      </xdr:txBody>
    </xdr:sp>
    <xdr:clientData/>
  </xdr:twoCellAnchor>
  <xdr:twoCellAnchor>
    <xdr:from>
      <xdr:col>18</xdr:col>
      <xdr:colOff>163830</xdr:colOff>
      <xdr:row>86</xdr:row>
      <xdr:rowOff>180974</xdr:rowOff>
    </xdr:from>
    <xdr:to>
      <xdr:col>25</xdr:col>
      <xdr:colOff>49530</xdr:colOff>
      <xdr:row>105</xdr:row>
      <xdr:rowOff>125730</xdr:rowOff>
    </xdr:to>
    <xdr:sp macro="" textlink="">
      <xdr:nvSpPr>
        <xdr:cNvPr id="9" name="Speech Bubble: Oval 8">
          <a:extLst>
            <a:ext uri="{FF2B5EF4-FFF2-40B4-BE49-F238E27FC236}">
              <a16:creationId xmlns:a16="http://schemas.microsoft.com/office/drawing/2014/main" id="{4D4C0A1E-9FB2-AB9F-081B-5BEF528646AD}"/>
            </a:ext>
          </a:extLst>
        </xdr:cNvPr>
        <xdr:cNvSpPr/>
      </xdr:nvSpPr>
      <xdr:spPr>
        <a:xfrm>
          <a:off x="11136630" y="16001999"/>
          <a:ext cx="4152900" cy="3383281"/>
        </a:xfrm>
        <a:prstGeom prst="wedgeEllipseCallou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ZA" sz="1600" b="1" baseline="0"/>
            <a:t>Sales Trends</a:t>
          </a:r>
        </a:p>
        <a:p>
          <a:pPr algn="l"/>
          <a:endParaRPr lang="en-ZA" sz="1100" baseline="0"/>
        </a:p>
        <a:p>
          <a:pPr algn="l"/>
          <a:r>
            <a:rPr lang="en-ZA" sz="1200" b="1" baseline="0">
              <a:solidFill>
                <a:schemeClr val="bg1"/>
              </a:solidFill>
            </a:rPr>
            <a:t>Insights</a:t>
          </a:r>
        </a:p>
        <a:p>
          <a:pPr algn="l"/>
          <a:r>
            <a:rPr lang="en-ZA"/>
            <a:t>Sales go up and down over time.</a:t>
          </a:r>
          <a:endParaRPr lang="en-ZA" sz="1100" b="1" baseline="0">
            <a:solidFill>
              <a:schemeClr val="bg1"/>
            </a:solidFill>
          </a:endParaRPr>
        </a:p>
        <a:p>
          <a:pPr algn="l"/>
          <a:r>
            <a:rPr lang="en-ZA"/>
            <a:t>Customer buying patterns change throughout the year.</a:t>
          </a:r>
        </a:p>
        <a:p>
          <a:pPr algn="l"/>
          <a:endParaRPr lang="en-ZA"/>
        </a:p>
        <a:p>
          <a:pPr algn="l"/>
          <a:r>
            <a:rPr lang="en-ZA" sz="1200" b="1"/>
            <a:t>Recommendations</a:t>
          </a:r>
        </a:p>
        <a:p>
          <a:pPr algn="l"/>
          <a:r>
            <a:rPr lang="en-ZA" sz="1200"/>
            <a:t>Keep enough stock of products that sell well. </a:t>
          </a:r>
        </a:p>
        <a:p>
          <a:pPr algn="l"/>
          <a:r>
            <a:rPr lang="en-ZA" sz="1200"/>
            <a:t>Create promotions during slower periods. Keep an eye on products with falling sales and make changes if needed.</a:t>
          </a:r>
        </a:p>
        <a:p>
          <a:pPr algn="l"/>
          <a:endParaRPr lang="en-ZA" sz="1200" b="1"/>
        </a:p>
        <a:p>
          <a:pPr algn="l"/>
          <a:endParaRPr lang="en-ZA"/>
        </a:p>
        <a:p>
          <a:pPr algn="l"/>
          <a:endParaRPr lang="en-ZA" sz="1100" b="1" baseline="0">
            <a:solidFill>
              <a:schemeClr val="bg1"/>
            </a:solidFill>
          </a:endParaRPr>
        </a:p>
        <a:p>
          <a:pPr algn="l"/>
          <a:endParaRPr lang="en-ZA" sz="1100" b="1" baseline="0">
            <a:solidFill>
              <a:schemeClr val="bg1"/>
            </a:solidFill>
          </a:endParaRPr>
        </a:p>
        <a:p>
          <a:pPr algn="l"/>
          <a:endParaRPr lang="en-ZA" sz="1100" b="1" baseline="0">
            <a:solidFill>
              <a:schemeClr val="bg1"/>
            </a:solidFill>
          </a:endParaRPr>
        </a:p>
        <a:p>
          <a:pPr algn="l"/>
          <a:endParaRPr lang="en-ZA" sz="1100" b="1">
            <a:solidFill>
              <a:schemeClr val="bg1"/>
            </a:solidFill>
          </a:endParaRPr>
        </a:p>
      </xdr:txBody>
    </xdr:sp>
    <xdr:clientData/>
  </xdr:twoCellAnchor>
  <xdr:twoCellAnchor>
    <xdr:from>
      <xdr:col>10</xdr:col>
      <xdr:colOff>468630</xdr:colOff>
      <xdr:row>87</xdr:row>
      <xdr:rowOff>64770</xdr:rowOff>
    </xdr:from>
    <xdr:to>
      <xdr:col>17</xdr:col>
      <xdr:colOff>240030</xdr:colOff>
      <xdr:row>105</xdr:row>
      <xdr:rowOff>64771</xdr:rowOff>
    </xdr:to>
    <xdr:sp macro="" textlink="">
      <xdr:nvSpPr>
        <xdr:cNvPr id="15" name="Speech Bubble: Oval 14">
          <a:extLst>
            <a:ext uri="{FF2B5EF4-FFF2-40B4-BE49-F238E27FC236}">
              <a16:creationId xmlns:a16="http://schemas.microsoft.com/office/drawing/2014/main" id="{DA94DCFF-0606-489A-A026-747F10D84240}"/>
            </a:ext>
          </a:extLst>
        </xdr:cNvPr>
        <xdr:cNvSpPr/>
      </xdr:nvSpPr>
      <xdr:spPr>
        <a:xfrm>
          <a:off x="6564630" y="16066770"/>
          <a:ext cx="4038600" cy="3257551"/>
        </a:xfrm>
        <a:prstGeom prst="wedgeEllipseCallou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ZA" sz="1600" b="1" baseline="0"/>
            <a:t>Sales by Time</a:t>
          </a:r>
        </a:p>
        <a:p>
          <a:pPr algn="l"/>
          <a:endParaRPr lang="en-ZA" sz="1100" baseline="0"/>
        </a:p>
        <a:p>
          <a:pPr algn="l"/>
          <a:r>
            <a:rPr lang="en-ZA" sz="1200" b="1" baseline="0">
              <a:solidFill>
                <a:schemeClr val="bg1"/>
              </a:solidFill>
            </a:rPr>
            <a:t>Insights</a:t>
          </a:r>
        </a:p>
        <a:p>
          <a:pPr algn="l"/>
          <a:r>
            <a:rPr lang="en-ZA" sz="1100" b="0" baseline="0">
              <a:solidFill>
                <a:schemeClr val="bg1"/>
              </a:solidFill>
              <a:latin typeface="Arial" panose="020B0604020202020204" pitchFamily="34" charset="0"/>
              <a:cs typeface="Arial" panose="020B0604020202020204" pitchFamily="34" charset="0"/>
            </a:rPr>
            <a:t>Afternoon generates the highest revenue and </a:t>
          </a:r>
          <a:r>
            <a:rPr lang="en-ZA"/>
            <a:t>is the strongest time of day and hour 13:00 is the peak hour.</a:t>
          </a:r>
        </a:p>
        <a:p>
          <a:pPr algn="l"/>
          <a:endParaRPr lang="en-ZA"/>
        </a:p>
        <a:p>
          <a:pPr algn="l"/>
          <a:r>
            <a:rPr lang="en-ZA" sz="1200" b="1"/>
            <a:t>Recommendations</a:t>
          </a:r>
          <a:endParaRPr lang="en-ZA" sz="1200"/>
        </a:p>
        <a:p>
          <a:pPr algn="l"/>
          <a:r>
            <a:rPr lang="en-ZA" sz="1200"/>
            <a:t>Have more staff available during busy hours.</a:t>
          </a:r>
        </a:p>
        <a:p>
          <a:pPr algn="l"/>
          <a:r>
            <a:rPr lang="en-ZA"/>
            <a:t>Run discounts or specials during quiet times to attract more customers</a:t>
          </a:r>
        </a:p>
        <a:p>
          <a:pPr algn="l"/>
          <a:r>
            <a:rPr lang="en-ZA"/>
            <a:t>Make sure popular products are always available during peak hours.</a:t>
          </a:r>
          <a:endParaRPr lang="en-ZA" sz="1100" b="1" baseline="0">
            <a:solidFill>
              <a:schemeClr val="bg1"/>
            </a:solidFill>
          </a:endParaRPr>
        </a:p>
        <a:p>
          <a:pPr algn="l"/>
          <a:endParaRPr lang="en-ZA" sz="1100" b="1" baseline="0">
            <a:solidFill>
              <a:schemeClr val="bg1"/>
            </a:solidFill>
          </a:endParaRPr>
        </a:p>
        <a:p>
          <a:pPr algn="l"/>
          <a:endParaRPr lang="en-ZA" sz="1100" b="1" baseline="0">
            <a:solidFill>
              <a:schemeClr val="bg1"/>
            </a:solidFill>
          </a:endParaRPr>
        </a:p>
        <a:p>
          <a:pPr algn="l"/>
          <a:endParaRPr lang="en-ZA" sz="1100" b="1">
            <a:solidFill>
              <a:schemeClr val="bg1"/>
            </a:solidFill>
          </a:endParaRPr>
        </a:p>
      </xdr:txBody>
    </xdr:sp>
    <xdr:clientData/>
  </xdr:twoCellAnchor>
  <xdr:twoCellAnchor>
    <xdr:from>
      <xdr:col>3</xdr:col>
      <xdr:colOff>262890</xdr:colOff>
      <xdr:row>86</xdr:row>
      <xdr:rowOff>59055</xdr:rowOff>
    </xdr:from>
    <xdr:to>
      <xdr:col>10</xdr:col>
      <xdr:colOff>150495</xdr:colOff>
      <xdr:row>105</xdr:row>
      <xdr:rowOff>177165</xdr:rowOff>
    </xdr:to>
    <xdr:sp macro="" textlink="">
      <xdr:nvSpPr>
        <xdr:cNvPr id="23" name="Speech Bubble: Oval 22">
          <a:extLst>
            <a:ext uri="{FF2B5EF4-FFF2-40B4-BE49-F238E27FC236}">
              <a16:creationId xmlns:a16="http://schemas.microsoft.com/office/drawing/2014/main" id="{1251AB47-F104-409C-B160-A5AA49FACA90}"/>
            </a:ext>
          </a:extLst>
        </xdr:cNvPr>
        <xdr:cNvSpPr/>
      </xdr:nvSpPr>
      <xdr:spPr>
        <a:xfrm>
          <a:off x="2091690" y="15880080"/>
          <a:ext cx="4154805" cy="3556635"/>
        </a:xfrm>
        <a:prstGeom prst="wedgeEllipseCallou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ZA" sz="1600" b="1"/>
            <a:t>Revenue</a:t>
          </a:r>
          <a:r>
            <a:rPr lang="en-ZA" sz="1600" b="1" baseline="0"/>
            <a:t> Performance</a:t>
          </a:r>
        </a:p>
        <a:p>
          <a:pPr algn="l"/>
          <a:endParaRPr lang="en-ZA" sz="1100" baseline="0"/>
        </a:p>
        <a:p>
          <a:pPr algn="l"/>
          <a:r>
            <a:rPr lang="en-ZA" sz="1200" b="1" baseline="0">
              <a:solidFill>
                <a:schemeClr val="bg1"/>
              </a:solidFill>
            </a:rPr>
            <a:t>Insights</a:t>
          </a:r>
        </a:p>
        <a:p>
          <a:pPr algn="l"/>
          <a:endParaRPr lang="en-ZA" sz="1100" b="1" baseline="0">
            <a:solidFill>
              <a:schemeClr val="bg1"/>
            </a:solidFill>
          </a:endParaRPr>
        </a:p>
        <a:p>
          <a:pPr algn="l"/>
          <a:r>
            <a:rPr lang="en-ZA"/>
            <a:t>Some products are selling much better than others</a:t>
          </a:r>
          <a:r>
            <a:rPr lang="en-ZA" baseline="0"/>
            <a:t> while </a:t>
          </a:r>
          <a:r>
            <a:rPr lang="en-ZA"/>
            <a:t> few products are not selling well and may need attention</a:t>
          </a:r>
        </a:p>
        <a:p>
          <a:pPr algn="l"/>
          <a:endParaRPr lang="en-ZA"/>
        </a:p>
        <a:p>
          <a:pPr algn="l"/>
          <a:r>
            <a:rPr lang="en-ZA" sz="1200" b="1"/>
            <a:t>Recommendations</a:t>
          </a:r>
        </a:p>
        <a:p>
          <a:pPr algn="l"/>
          <a:r>
            <a:rPr lang="en-ZA" sz="1200"/>
            <a:t>Promote the products that customers already love.</a:t>
          </a:r>
        </a:p>
        <a:p>
          <a:pPr algn="l"/>
          <a:r>
            <a:rPr lang="en-ZA" sz="1200"/>
            <a:t>Offer special deals on products that don't sell often</a:t>
          </a:r>
          <a:r>
            <a:rPr lang="en-ZA" sz="1200" baseline="0"/>
            <a:t> and </a:t>
          </a:r>
          <a:r>
            <a:rPr lang="en-ZA" sz="1200"/>
            <a:t>Review products with low sales to see if they should be improved or removed.</a:t>
          </a:r>
        </a:p>
        <a:p>
          <a:pPr algn="l"/>
          <a:endParaRPr lang="en-ZA" sz="1200" b="1"/>
        </a:p>
        <a:p>
          <a:pPr algn="l"/>
          <a:endParaRPr lang="en-ZA"/>
        </a:p>
        <a:p>
          <a:pPr algn="l"/>
          <a:endParaRPr lang="en-ZA" sz="1100" b="1" baseline="0">
            <a:solidFill>
              <a:schemeClr val="bg1"/>
            </a:solidFill>
          </a:endParaRPr>
        </a:p>
        <a:p>
          <a:pPr algn="l"/>
          <a:endParaRPr lang="en-ZA" sz="1100" b="1" baseline="0">
            <a:solidFill>
              <a:schemeClr val="bg1"/>
            </a:solidFill>
          </a:endParaRPr>
        </a:p>
        <a:p>
          <a:pPr algn="l"/>
          <a:endParaRPr lang="en-ZA" sz="1100" b="1" baseline="0">
            <a:solidFill>
              <a:schemeClr val="bg1"/>
            </a:solidFill>
          </a:endParaRPr>
        </a:p>
        <a:p>
          <a:pPr algn="l"/>
          <a:endParaRPr lang="en-ZA" sz="1100" b="1">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409575</xdr:colOff>
      <xdr:row>2</xdr:row>
      <xdr:rowOff>125730</xdr:rowOff>
    </xdr:from>
    <xdr:to>
      <xdr:col>6</xdr:col>
      <xdr:colOff>409575</xdr:colOff>
      <xdr:row>16</xdr:row>
      <xdr:rowOff>97155</xdr:rowOff>
    </xdr:to>
    <xdr:graphicFrame macro="">
      <xdr:nvGraphicFramePr>
        <xdr:cNvPr id="2" name="Revenue by Category">
          <a:extLst>
            <a:ext uri="{FF2B5EF4-FFF2-40B4-BE49-F238E27FC236}">
              <a16:creationId xmlns:a16="http://schemas.microsoft.com/office/drawing/2014/main" id="{DDBF683D-FD0E-073A-7A6C-42F991F12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600075</xdr:colOff>
      <xdr:row>2</xdr:row>
      <xdr:rowOff>154305</xdr:rowOff>
    </xdr:from>
    <xdr:to>
      <xdr:col>12</xdr:col>
      <xdr:colOff>600075</xdr:colOff>
      <xdr:row>16</xdr:row>
      <xdr:rowOff>125730</xdr:rowOff>
    </xdr:to>
    <xdr:graphicFrame macro="">
      <xdr:nvGraphicFramePr>
        <xdr:cNvPr id="3" name="Revenue by Time of Day">
          <a:extLst>
            <a:ext uri="{FF2B5EF4-FFF2-40B4-BE49-F238E27FC236}">
              <a16:creationId xmlns:a16="http://schemas.microsoft.com/office/drawing/2014/main" id="{D58F0F24-C389-2A73-6097-91A69691C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23</xdr:row>
      <xdr:rowOff>38099</xdr:rowOff>
    </xdr:from>
    <xdr:to>
      <xdr:col>6</xdr:col>
      <xdr:colOff>0</xdr:colOff>
      <xdr:row>41</xdr:row>
      <xdr:rowOff>70484</xdr:rowOff>
    </xdr:to>
    <xdr:graphicFrame macro="">
      <xdr:nvGraphicFramePr>
        <xdr:cNvPr id="2" name="Top Product Types">
          <a:extLst>
            <a:ext uri="{FF2B5EF4-FFF2-40B4-BE49-F238E27FC236}">
              <a16:creationId xmlns:a16="http://schemas.microsoft.com/office/drawing/2014/main" id="{346F72DD-89C6-35CD-24BD-8BE2AAA64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23</xdr:row>
      <xdr:rowOff>38099</xdr:rowOff>
    </xdr:from>
    <xdr:to>
      <xdr:col>12</xdr:col>
      <xdr:colOff>0</xdr:colOff>
      <xdr:row>41</xdr:row>
      <xdr:rowOff>70484</xdr:rowOff>
    </xdr:to>
    <xdr:graphicFrame macro="">
      <xdr:nvGraphicFramePr>
        <xdr:cNvPr id="3" name="Category Revenue Chart">
          <a:extLst>
            <a:ext uri="{FF2B5EF4-FFF2-40B4-BE49-F238E27FC236}">
              <a16:creationId xmlns:a16="http://schemas.microsoft.com/office/drawing/2014/main" id="{3C632117-CD8E-6290-C202-6A3416D9B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190500</xdr:colOff>
      <xdr:row>18</xdr:row>
      <xdr:rowOff>22859</xdr:rowOff>
    </xdr:from>
    <xdr:to>
      <xdr:col>6</xdr:col>
      <xdr:colOff>571500</xdr:colOff>
      <xdr:row>36</xdr:row>
      <xdr:rowOff>66674</xdr:rowOff>
    </xdr:to>
    <xdr:graphicFrame macro="">
      <xdr:nvGraphicFramePr>
        <xdr:cNvPr id="2" name="Hourly Revenue Trend">
          <a:extLst>
            <a:ext uri="{FF2B5EF4-FFF2-40B4-BE49-F238E27FC236}">
              <a16:creationId xmlns:a16="http://schemas.microsoft.com/office/drawing/2014/main" id="{8667D468-8F25-9960-CFE4-165F2AD58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409575</xdr:colOff>
      <xdr:row>18</xdr:row>
      <xdr:rowOff>17144</xdr:rowOff>
    </xdr:from>
    <xdr:to>
      <xdr:col>13</xdr:col>
      <xdr:colOff>409575</xdr:colOff>
      <xdr:row>36</xdr:row>
      <xdr:rowOff>59054</xdr:rowOff>
    </xdr:to>
    <xdr:graphicFrame macro="">
      <xdr:nvGraphicFramePr>
        <xdr:cNvPr id="3" name="Daily Revenue Trend">
          <a:extLst>
            <a:ext uri="{FF2B5EF4-FFF2-40B4-BE49-F238E27FC236}">
              <a16:creationId xmlns:a16="http://schemas.microsoft.com/office/drawing/2014/main" id="{2E15420E-26BA-6B4B-DE06-50A48DC92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16</xdr:row>
      <xdr:rowOff>20954</xdr:rowOff>
    </xdr:from>
    <xdr:to>
      <xdr:col>6</xdr:col>
      <xdr:colOff>0</xdr:colOff>
      <xdr:row>34</xdr:row>
      <xdr:rowOff>55244</xdr:rowOff>
    </xdr:to>
    <xdr:graphicFrame macro="">
      <xdr:nvGraphicFramePr>
        <xdr:cNvPr id="2" name="Top Revenue Products">
          <a:extLst>
            <a:ext uri="{FF2B5EF4-FFF2-40B4-BE49-F238E27FC236}">
              <a16:creationId xmlns:a16="http://schemas.microsoft.com/office/drawing/2014/main" id="{886F0B8C-7B38-C099-1978-3D276F99E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16</xdr:row>
      <xdr:rowOff>20954</xdr:rowOff>
    </xdr:from>
    <xdr:to>
      <xdr:col>12</xdr:col>
      <xdr:colOff>0</xdr:colOff>
      <xdr:row>34</xdr:row>
      <xdr:rowOff>55244</xdr:rowOff>
    </xdr:to>
    <xdr:graphicFrame macro="">
      <xdr:nvGraphicFramePr>
        <xdr:cNvPr id="3" name="Revenue by Category Focus">
          <a:extLst>
            <a:ext uri="{FF2B5EF4-FFF2-40B4-BE49-F238E27FC236}">
              <a16:creationId xmlns:a16="http://schemas.microsoft.com/office/drawing/2014/main" id="{226EEC3D-1AA0-572C-64D3-C3EE66344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10</xdr:row>
      <xdr:rowOff>20955</xdr:rowOff>
    </xdr:from>
    <xdr:to>
      <xdr:col>6</xdr:col>
      <xdr:colOff>0</xdr:colOff>
      <xdr:row>28</xdr:row>
      <xdr:rowOff>55245</xdr:rowOff>
    </xdr:to>
    <xdr:graphicFrame macro="">
      <xdr:nvGraphicFramePr>
        <xdr:cNvPr id="2" name="Revenue by Daypart">
          <a:extLst>
            <a:ext uri="{FF2B5EF4-FFF2-40B4-BE49-F238E27FC236}">
              <a16:creationId xmlns:a16="http://schemas.microsoft.com/office/drawing/2014/main" id="{68C7C4BE-EFC1-0B51-4AC2-F68263F13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10</xdr:row>
      <xdr:rowOff>20955</xdr:rowOff>
    </xdr:from>
    <xdr:to>
      <xdr:col>12</xdr:col>
      <xdr:colOff>0</xdr:colOff>
      <xdr:row>28</xdr:row>
      <xdr:rowOff>55245</xdr:rowOff>
    </xdr:to>
    <xdr:graphicFrame macro="">
      <xdr:nvGraphicFramePr>
        <xdr:cNvPr id="3" name="Hourly Performance">
          <a:extLst>
            <a:ext uri="{FF2B5EF4-FFF2-40B4-BE49-F238E27FC236}">
              <a16:creationId xmlns:a16="http://schemas.microsoft.com/office/drawing/2014/main" id="{B13F854A-6E09-4750-5545-EFF2FB113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10</xdr:row>
      <xdr:rowOff>20955</xdr:rowOff>
    </xdr:from>
    <xdr:to>
      <xdr:col>12</xdr:col>
      <xdr:colOff>0</xdr:colOff>
      <xdr:row>31</xdr:row>
      <xdr:rowOff>53340</xdr:rowOff>
    </xdr:to>
    <xdr:graphicFrame macro="">
      <xdr:nvGraphicFramePr>
        <xdr:cNvPr id="2" name="Category Revenue by Daypart">
          <a:extLst>
            <a:ext uri="{FF2B5EF4-FFF2-40B4-BE49-F238E27FC236}">
              <a16:creationId xmlns:a16="http://schemas.microsoft.com/office/drawing/2014/main" id="{627D75C0-F8F9-9FF8-72A4-E39ECB8E4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tekani Tredah Masingi" refreshedDate="46231.398653009259" createdVersion="8" refreshedVersion="8" minRefreshableVersion="3" recordCount="1000" xr:uid="{DABC03C7-9540-4E56-9A60-30DEBD7BCF47}">
  <cacheSource type="worksheet">
    <worksheetSource name="Bright_Coffee_Shop_dataset"/>
  </cacheSource>
  <cacheFields count="20">
    <cacheField name="transaction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transaction_date" numFmtId="14">
      <sharedItems containsSemiMixedTypes="0" containsNonDate="0" containsDate="1" containsString="0" minDate="2023-01-01T00:00:00" maxDate="2023-01-03T00:00:00"/>
    </cacheField>
    <cacheField name="year" numFmtId="0">
      <sharedItems containsSemiMixedTypes="0" containsString="0" containsNumber="1" containsInteger="1" minValue="2023" maxValue="2023"/>
    </cacheField>
    <cacheField name="month" numFmtId="0">
      <sharedItems containsSemiMixedTypes="0" containsString="0" containsNumber="1" containsInteger="1" minValue="1" maxValue="1"/>
    </cacheField>
    <cacheField name="month_name" numFmtId="0">
      <sharedItems/>
    </cacheField>
    <cacheField name="day" numFmtId="0">
      <sharedItems containsSemiMixedTypes="0" containsString="0" containsNumber="1" containsInteger="1" minValue="1" maxValue="2"/>
    </cacheField>
    <cacheField name="day_name" numFmtId="0">
      <sharedItems/>
    </cacheField>
    <cacheField name="transaction_time" numFmtId="22">
      <sharedItems containsSemiMixedTypes="0" containsNonDate="0" containsDate="1" containsString="0" minDate="2026-06-30T09:01:59" maxDate="2026-06-30T21:58:52"/>
    </cacheField>
    <cacheField name="hour" numFmtId="0">
      <sharedItems containsSemiMixedTypes="0" containsString="0" containsNumber="1" containsInteger="1" minValue="7" maxValue="19"/>
    </cacheField>
    <cacheField name="time_of_day" numFmtId="0">
      <sharedItems/>
    </cacheField>
    <cacheField name="transaction_qty" numFmtId="0">
      <sharedItems containsSemiMixedTypes="0" containsString="0" containsNumber="1" containsInteger="1" minValue="1" maxValue="2"/>
    </cacheField>
    <cacheField name="store_id" numFmtId="0">
      <sharedItems containsSemiMixedTypes="0" containsString="0" containsNumber="1" containsInteger="1" minValue="3" maxValue="8" count="3">
        <n v="5"/>
        <n v="8"/>
        <n v="3"/>
      </sharedItems>
    </cacheField>
    <cacheField name="store_location" numFmtId="0">
      <sharedItems count="3">
        <s v="Lower Manhattan"/>
        <s v="Hell's Kitchen"/>
        <s v="Astoria"/>
      </sharedItems>
    </cacheField>
    <cacheField name="product_id" numFmtId="0">
      <sharedItems containsSemiMixedTypes="0" containsString="0" containsNumber="1" containsInteger="1" minValue="22" maxValue="87"/>
    </cacheField>
    <cacheField name="product_category" numFmtId="0">
      <sharedItems count="4">
        <s v="Coffee"/>
        <s v="Tea"/>
        <s v="Drinking Chocolate"/>
        <s v="Bakery"/>
      </sharedItems>
    </cacheField>
    <cacheField name="product_type" numFmtId="0">
      <sharedItems count="13">
        <s v="Gourmet brewed coffee"/>
        <s v="Brewed Chai tea"/>
        <s v="Hot chocolate"/>
        <s v="Drip coffee"/>
        <s v="Scone"/>
        <s v="Barista Espresso"/>
        <s v="Brewed Black tea"/>
        <s v="Brewed Green tea"/>
        <s v="Brewed herbal tea"/>
        <s v="Biscotti"/>
        <s v="Pastry"/>
        <s v="Organic brewed coffee"/>
        <s v="Premium brewed coffee"/>
      </sharedItems>
    </cacheField>
    <cacheField name="product_detail" numFmtId="0">
      <sharedItems/>
    </cacheField>
    <cacheField name="unit_price" numFmtId="0">
      <sharedItems/>
    </cacheField>
    <cacheField name="revenue" numFmtId="0">
      <sharedItems count="26">
        <s v="6"/>
        <s v="6.2"/>
        <s v="9"/>
        <s v="2"/>
        <s v="3"/>
        <s v="4"/>
        <s v="4.25"/>
        <s v="7"/>
        <s v="2.55"/>
        <s v="3.1"/>
        <s v="3.75"/>
        <s v="2.5"/>
        <s v="4.75"/>
        <s v="5.1"/>
        <s v="3.25"/>
        <s v="3.5"/>
        <s v="7.5"/>
        <s v="5"/>
        <s v="4.5"/>
        <s v="4.4"/>
        <s v="2.45"/>
        <s v="8.5"/>
        <s v="9.5"/>
        <s v="2.2"/>
        <s v="8"/>
        <s v="4.9"/>
      </sharedItems>
    </cacheField>
    <cacheField name="Day_classification" numFmtId="0">
      <sharedItems/>
    </cacheField>
  </cacheFields>
  <extLst>
    <ext xmlns:x14="http://schemas.microsoft.com/office/spreadsheetml/2009/9/main" uri="{725AE2AE-9491-48be-B2B4-4EB974FC3084}">
      <x14:pivotCacheDefinition pivotCacheId="1675082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d v="2023-01-01T00:00:00"/>
    <n v="2023"/>
    <n v="1"/>
    <s v="Jan"/>
    <n v="1"/>
    <s v="Sun"/>
    <d v="2026-06-30T09:06:11"/>
    <n v="7"/>
    <s v="Morning"/>
    <n v="2"/>
    <x v="0"/>
    <x v="0"/>
    <n v="32"/>
    <x v="0"/>
    <x v="0"/>
    <s v="Ethiopia Rg"/>
    <s v="3"/>
    <x v="0"/>
    <s v="Weekend"/>
  </r>
  <r>
    <x v="1"/>
    <d v="2023-01-01T00:00:00"/>
    <n v="2023"/>
    <n v="1"/>
    <s v="Jan"/>
    <n v="1"/>
    <s v="Sun"/>
    <d v="2026-06-30T09:08:56"/>
    <n v="7"/>
    <s v="Morning"/>
    <n v="2"/>
    <x v="0"/>
    <x v="0"/>
    <n v="57"/>
    <x v="1"/>
    <x v="1"/>
    <s v="Spicy Eye Opener Chai Lg"/>
    <s v="3.1"/>
    <x v="1"/>
    <s v="Weekend"/>
  </r>
  <r>
    <x v="2"/>
    <d v="2023-01-01T00:00:00"/>
    <n v="2023"/>
    <n v="1"/>
    <s v="Jan"/>
    <n v="1"/>
    <s v="Sun"/>
    <d v="2026-06-30T09:14:04"/>
    <n v="7"/>
    <s v="Morning"/>
    <n v="2"/>
    <x v="0"/>
    <x v="0"/>
    <n v="59"/>
    <x v="2"/>
    <x v="2"/>
    <s v="Dark chocolate Lg"/>
    <s v="4.5"/>
    <x v="2"/>
    <s v="Weekend"/>
  </r>
  <r>
    <x v="3"/>
    <d v="2023-01-01T00:00:00"/>
    <n v="2023"/>
    <n v="1"/>
    <s v="Jan"/>
    <n v="1"/>
    <s v="Sun"/>
    <d v="2026-06-30T09:20:24"/>
    <n v="7"/>
    <s v="Morning"/>
    <n v="1"/>
    <x v="0"/>
    <x v="0"/>
    <n v="22"/>
    <x v="0"/>
    <x v="3"/>
    <s v="Our Old Time Diner Blend Sm"/>
    <s v="2"/>
    <x v="3"/>
    <s v="Weekend"/>
  </r>
  <r>
    <x v="4"/>
    <d v="2023-01-01T00:00:00"/>
    <n v="2023"/>
    <n v="1"/>
    <s v="Jan"/>
    <n v="1"/>
    <s v="Sun"/>
    <d v="2026-06-30T09:22:41"/>
    <n v="7"/>
    <s v="Morning"/>
    <n v="2"/>
    <x v="0"/>
    <x v="0"/>
    <n v="57"/>
    <x v="1"/>
    <x v="1"/>
    <s v="Spicy Eye Opener Chai Lg"/>
    <s v="3.1"/>
    <x v="1"/>
    <s v="Weekend"/>
  </r>
  <r>
    <x v="5"/>
    <d v="2023-01-01T00:00:00"/>
    <n v="2023"/>
    <n v="1"/>
    <s v="Jan"/>
    <n v="1"/>
    <s v="Sun"/>
    <d v="2026-06-30T09:22:41"/>
    <n v="7"/>
    <s v="Morning"/>
    <n v="1"/>
    <x v="0"/>
    <x v="0"/>
    <n v="77"/>
    <x v="3"/>
    <x v="4"/>
    <s v="Oatmeal Scone"/>
    <s v="3"/>
    <x v="4"/>
    <s v="Weekend"/>
  </r>
  <r>
    <x v="6"/>
    <d v="2023-01-01T00:00:00"/>
    <n v="2023"/>
    <n v="1"/>
    <s v="Jan"/>
    <n v="1"/>
    <s v="Sun"/>
    <d v="2026-06-30T09:25:49"/>
    <n v="7"/>
    <s v="Morning"/>
    <n v="1"/>
    <x v="0"/>
    <x v="0"/>
    <n v="22"/>
    <x v="0"/>
    <x v="3"/>
    <s v="Our Old Time Diner Blend Sm"/>
    <s v="2"/>
    <x v="3"/>
    <s v="Weekend"/>
  </r>
  <r>
    <x v="7"/>
    <d v="2023-01-01T00:00:00"/>
    <n v="2023"/>
    <n v="1"/>
    <s v="Jan"/>
    <n v="1"/>
    <s v="Sun"/>
    <d v="2026-06-30T09:33:34"/>
    <n v="7"/>
    <s v="Morning"/>
    <n v="2"/>
    <x v="0"/>
    <x v="0"/>
    <n v="28"/>
    <x v="0"/>
    <x v="0"/>
    <s v="Columbian Medium Roast Sm"/>
    <s v="2"/>
    <x v="5"/>
    <s v="Weekend"/>
  </r>
  <r>
    <x v="8"/>
    <d v="2023-01-01T00:00:00"/>
    <n v="2023"/>
    <n v="1"/>
    <s v="Jan"/>
    <n v="1"/>
    <s v="Sun"/>
    <d v="2026-06-30T09:39:13"/>
    <n v="7"/>
    <s v="Morning"/>
    <n v="1"/>
    <x v="0"/>
    <x v="0"/>
    <n v="39"/>
    <x v="0"/>
    <x v="5"/>
    <s v="Latte Rg"/>
    <s v="4.25"/>
    <x v="6"/>
    <s v="Weekend"/>
  </r>
  <r>
    <x v="9"/>
    <d v="2023-01-01T00:00:00"/>
    <n v="2023"/>
    <n v="1"/>
    <s v="Jan"/>
    <n v="1"/>
    <s v="Sun"/>
    <d v="2026-06-30T09:39:34"/>
    <n v="7"/>
    <s v="Morning"/>
    <n v="2"/>
    <x v="0"/>
    <x v="0"/>
    <n v="58"/>
    <x v="2"/>
    <x v="2"/>
    <s v="Dark chocolate Rg"/>
    <s v="3.5"/>
    <x v="7"/>
    <s v="Weekend"/>
  </r>
  <r>
    <x v="10"/>
    <d v="2023-01-01T00:00:00"/>
    <n v="2023"/>
    <n v="1"/>
    <s v="Jan"/>
    <n v="1"/>
    <s v="Sun"/>
    <d v="2026-06-30T09:43:05"/>
    <n v="7"/>
    <s v="Morning"/>
    <n v="1"/>
    <x v="0"/>
    <x v="0"/>
    <n v="56"/>
    <x v="1"/>
    <x v="1"/>
    <s v="Spicy Eye Opener Chai Rg"/>
    <s v="2.55"/>
    <x v="8"/>
    <s v="Weekend"/>
  </r>
  <r>
    <x v="11"/>
    <d v="2023-01-01T00:00:00"/>
    <n v="2023"/>
    <n v="1"/>
    <s v="Jan"/>
    <n v="1"/>
    <s v="Sun"/>
    <d v="2026-06-30T09:44:35"/>
    <n v="7"/>
    <s v="Morning"/>
    <n v="2"/>
    <x v="0"/>
    <x v="0"/>
    <n v="33"/>
    <x v="0"/>
    <x v="0"/>
    <s v="Ethiopia Lg"/>
    <s v="3.5"/>
    <x v="7"/>
    <s v="Weekend"/>
  </r>
  <r>
    <x v="12"/>
    <d v="2023-01-01T00:00:00"/>
    <n v="2023"/>
    <n v="1"/>
    <s v="Jan"/>
    <n v="1"/>
    <s v="Sun"/>
    <d v="2026-06-30T09:45:51"/>
    <n v="7"/>
    <s v="Morning"/>
    <n v="1"/>
    <x v="0"/>
    <x v="0"/>
    <n v="51"/>
    <x v="1"/>
    <x v="6"/>
    <s v="Earl Grey Lg"/>
    <s v="3"/>
    <x v="4"/>
    <s v="Weekend"/>
  </r>
  <r>
    <x v="13"/>
    <d v="2023-01-01T00:00:00"/>
    <n v="2023"/>
    <n v="1"/>
    <s v="Jan"/>
    <n v="1"/>
    <s v="Sun"/>
    <d v="2026-06-30T09:48:19"/>
    <n v="7"/>
    <s v="Morning"/>
    <n v="1"/>
    <x v="0"/>
    <x v="0"/>
    <n v="57"/>
    <x v="1"/>
    <x v="1"/>
    <s v="Spicy Eye Opener Chai Lg"/>
    <s v="3.1"/>
    <x v="9"/>
    <s v="Weekend"/>
  </r>
  <r>
    <x v="14"/>
    <d v="2023-01-01T00:00:00"/>
    <n v="2023"/>
    <n v="1"/>
    <s v="Jan"/>
    <n v="1"/>
    <s v="Sun"/>
    <d v="2026-06-30T09:52:36"/>
    <n v="7"/>
    <s v="Morning"/>
    <n v="2"/>
    <x v="0"/>
    <x v="0"/>
    <n v="87"/>
    <x v="0"/>
    <x v="5"/>
    <s v="Ouro Brasileiro shot"/>
    <s v="3"/>
    <x v="0"/>
    <s v="Weekend"/>
  </r>
  <r>
    <x v="15"/>
    <d v="2023-01-01T00:00:00"/>
    <n v="2023"/>
    <n v="1"/>
    <s v="Jan"/>
    <n v="1"/>
    <s v="Sun"/>
    <d v="2026-06-30T09:59:58"/>
    <n v="7"/>
    <s v="Morning"/>
    <n v="2"/>
    <x v="0"/>
    <x v="0"/>
    <n v="47"/>
    <x v="1"/>
    <x v="7"/>
    <s v="Serenity Green Tea Lg"/>
    <s v="3"/>
    <x v="0"/>
    <s v="Weekend"/>
  </r>
  <r>
    <x v="16"/>
    <d v="2023-01-01T00:00:00"/>
    <n v="2023"/>
    <n v="1"/>
    <s v="Jan"/>
    <n v="1"/>
    <s v="Sun"/>
    <d v="2026-06-30T09:59:58"/>
    <n v="7"/>
    <s v="Morning"/>
    <n v="1"/>
    <x v="0"/>
    <x v="0"/>
    <n v="79"/>
    <x v="3"/>
    <x v="4"/>
    <s v="Jumbo Savory Scone"/>
    <s v="3.75"/>
    <x v="10"/>
    <s v="Weekend"/>
  </r>
  <r>
    <x v="17"/>
    <d v="2023-01-01T00:00:00"/>
    <n v="2023"/>
    <n v="1"/>
    <s v="Jan"/>
    <n v="1"/>
    <s v="Sun"/>
    <d v="2026-06-30T10:00:18"/>
    <n v="8"/>
    <s v="Morning"/>
    <n v="1"/>
    <x v="1"/>
    <x v="1"/>
    <n v="42"/>
    <x v="1"/>
    <x v="8"/>
    <s v="Lemon Grass Rg"/>
    <s v="2.5"/>
    <x v="11"/>
    <s v="Weekend"/>
  </r>
  <r>
    <x v="18"/>
    <d v="2023-01-01T00:00:00"/>
    <n v="2023"/>
    <n v="1"/>
    <s v="Jan"/>
    <n v="1"/>
    <s v="Sun"/>
    <d v="2026-06-30T10:00:39"/>
    <n v="8"/>
    <s v="Morning"/>
    <n v="2"/>
    <x v="1"/>
    <x v="1"/>
    <n v="59"/>
    <x v="2"/>
    <x v="2"/>
    <s v="Dark chocolate Lg"/>
    <s v="4.5"/>
    <x v="2"/>
    <s v="Weekend"/>
  </r>
  <r>
    <x v="19"/>
    <d v="2023-01-01T00:00:00"/>
    <n v="2023"/>
    <n v="1"/>
    <s v="Jan"/>
    <n v="1"/>
    <s v="Sun"/>
    <d v="2026-06-30T10:11:45"/>
    <n v="8"/>
    <s v="Morning"/>
    <n v="1"/>
    <x v="1"/>
    <x v="1"/>
    <n v="61"/>
    <x v="2"/>
    <x v="2"/>
    <s v="Sustainably Grown Organic Lg"/>
    <s v="4.75"/>
    <x v="12"/>
    <s v="Weekend"/>
  </r>
  <r>
    <x v="20"/>
    <d v="2023-01-01T00:00:00"/>
    <n v="2023"/>
    <n v="1"/>
    <s v="Jan"/>
    <n v="1"/>
    <s v="Sun"/>
    <d v="2026-06-30T10:17:27"/>
    <n v="8"/>
    <s v="Morning"/>
    <n v="2"/>
    <x v="1"/>
    <x v="1"/>
    <n v="33"/>
    <x v="0"/>
    <x v="0"/>
    <s v="Ethiopia Lg"/>
    <s v="3.5"/>
    <x v="7"/>
    <s v="Weekend"/>
  </r>
  <r>
    <x v="21"/>
    <d v="2023-01-01T00:00:00"/>
    <n v="2023"/>
    <n v="1"/>
    <s v="Jan"/>
    <n v="1"/>
    <s v="Sun"/>
    <d v="2026-06-30T10:24:26"/>
    <n v="8"/>
    <s v="Morning"/>
    <n v="2"/>
    <x v="0"/>
    <x v="0"/>
    <n v="56"/>
    <x v="1"/>
    <x v="1"/>
    <s v="Spicy Eye Opener Chai Rg"/>
    <s v="2.55"/>
    <x v="13"/>
    <s v="Weekend"/>
  </r>
  <r>
    <x v="22"/>
    <d v="2023-01-01T00:00:00"/>
    <n v="2023"/>
    <n v="1"/>
    <s v="Jan"/>
    <n v="1"/>
    <s v="Sun"/>
    <d v="2026-06-30T10:24:26"/>
    <n v="8"/>
    <s v="Morning"/>
    <n v="1"/>
    <x v="0"/>
    <x v="0"/>
    <n v="69"/>
    <x v="3"/>
    <x v="9"/>
    <s v="Hazelnut Biscotti"/>
    <s v="3.25"/>
    <x v="14"/>
    <s v="Weekend"/>
  </r>
  <r>
    <x v="23"/>
    <d v="2023-01-01T00:00:00"/>
    <n v="2023"/>
    <n v="1"/>
    <s v="Jan"/>
    <n v="1"/>
    <s v="Sun"/>
    <d v="2026-06-30T10:29:38"/>
    <n v="8"/>
    <s v="Morning"/>
    <n v="1"/>
    <x v="1"/>
    <x v="1"/>
    <n v="56"/>
    <x v="1"/>
    <x v="1"/>
    <s v="Spicy Eye Opener Chai Rg"/>
    <s v="2.55"/>
    <x v="8"/>
    <s v="Weekend"/>
  </r>
  <r>
    <x v="24"/>
    <d v="2023-01-01T00:00:00"/>
    <n v="2023"/>
    <n v="1"/>
    <s v="Jan"/>
    <n v="1"/>
    <s v="Sun"/>
    <d v="2026-06-30T10:31:23"/>
    <n v="8"/>
    <s v="Morning"/>
    <n v="1"/>
    <x v="1"/>
    <x v="1"/>
    <n v="40"/>
    <x v="0"/>
    <x v="5"/>
    <s v="Cappuccino"/>
    <s v="3.75"/>
    <x v="10"/>
    <s v="Weekend"/>
  </r>
  <r>
    <x v="25"/>
    <d v="2023-01-01T00:00:00"/>
    <n v="2023"/>
    <n v="1"/>
    <s v="Jan"/>
    <n v="1"/>
    <s v="Sun"/>
    <d v="2026-06-30T10:33:08"/>
    <n v="8"/>
    <s v="Morning"/>
    <n v="1"/>
    <x v="0"/>
    <x v="0"/>
    <n v="43"/>
    <x v="1"/>
    <x v="8"/>
    <s v="Lemon Grass Lg"/>
    <s v="3"/>
    <x v="4"/>
    <s v="Weekend"/>
  </r>
  <r>
    <x v="26"/>
    <d v="2023-01-01T00:00:00"/>
    <n v="2023"/>
    <n v="1"/>
    <s v="Jan"/>
    <n v="1"/>
    <s v="Sun"/>
    <d v="2026-06-30T10:33:08"/>
    <n v="8"/>
    <s v="Morning"/>
    <n v="1"/>
    <x v="0"/>
    <x v="0"/>
    <n v="76"/>
    <x v="3"/>
    <x v="9"/>
    <s v="Chocolate Chip Biscotti"/>
    <s v="3.5"/>
    <x v="15"/>
    <s v="Weekend"/>
  </r>
  <r>
    <x v="27"/>
    <d v="2023-01-01T00:00:00"/>
    <n v="2023"/>
    <n v="1"/>
    <s v="Jan"/>
    <n v="1"/>
    <s v="Sun"/>
    <d v="2026-06-30T10:35:03"/>
    <n v="8"/>
    <s v="Morning"/>
    <n v="2"/>
    <x v="0"/>
    <x v="0"/>
    <n v="45"/>
    <x v="1"/>
    <x v="8"/>
    <s v="Peppermint Lg"/>
    <s v="3"/>
    <x v="0"/>
    <s v="Weekend"/>
  </r>
  <r>
    <x v="28"/>
    <d v="2023-01-01T00:00:00"/>
    <n v="2023"/>
    <n v="1"/>
    <s v="Jan"/>
    <n v="1"/>
    <s v="Sun"/>
    <d v="2026-06-30T10:35:03"/>
    <n v="8"/>
    <s v="Morning"/>
    <n v="1"/>
    <x v="0"/>
    <x v="0"/>
    <n v="71"/>
    <x v="3"/>
    <x v="10"/>
    <s v="Chocolate Croissant"/>
    <s v="3.75"/>
    <x v="10"/>
    <s v="Weekend"/>
  </r>
  <r>
    <x v="29"/>
    <d v="2023-01-01T00:00:00"/>
    <n v="2023"/>
    <n v="1"/>
    <s v="Jan"/>
    <n v="1"/>
    <s v="Sun"/>
    <d v="2026-06-30T10:41:57"/>
    <n v="8"/>
    <s v="Morning"/>
    <n v="2"/>
    <x v="1"/>
    <x v="1"/>
    <n v="40"/>
    <x v="0"/>
    <x v="5"/>
    <s v="Cappuccino"/>
    <s v="3.75"/>
    <x v="16"/>
    <s v="Weekend"/>
  </r>
  <r>
    <x v="30"/>
    <d v="2023-01-01T00:00:00"/>
    <n v="2023"/>
    <n v="1"/>
    <s v="Jan"/>
    <n v="1"/>
    <s v="Sun"/>
    <d v="2026-06-30T10:52:03"/>
    <n v="8"/>
    <s v="Morning"/>
    <n v="1"/>
    <x v="1"/>
    <x v="1"/>
    <n v="38"/>
    <x v="0"/>
    <x v="5"/>
    <s v="Latte"/>
    <s v="3.75"/>
    <x v="10"/>
    <s v="Weekend"/>
  </r>
  <r>
    <x v="31"/>
    <d v="2023-01-01T00:00:00"/>
    <n v="2023"/>
    <n v="1"/>
    <s v="Jan"/>
    <n v="1"/>
    <s v="Sun"/>
    <d v="2026-06-30T10:52:32"/>
    <n v="8"/>
    <s v="Morning"/>
    <n v="1"/>
    <x v="0"/>
    <x v="0"/>
    <n v="26"/>
    <x v="0"/>
    <x v="11"/>
    <s v="Brazilian Rg"/>
    <s v="3"/>
    <x v="4"/>
    <s v="Weekend"/>
  </r>
  <r>
    <x v="32"/>
    <d v="2023-01-01T00:00:00"/>
    <n v="2023"/>
    <n v="1"/>
    <s v="Jan"/>
    <n v="1"/>
    <s v="Sun"/>
    <d v="2026-06-30T10:54:33"/>
    <n v="8"/>
    <s v="Morning"/>
    <n v="2"/>
    <x v="0"/>
    <x v="0"/>
    <n v="27"/>
    <x v="0"/>
    <x v="11"/>
    <s v="Brazilian Lg"/>
    <s v="3.5"/>
    <x v="7"/>
    <s v="Weekend"/>
  </r>
  <r>
    <x v="33"/>
    <d v="2023-01-01T00:00:00"/>
    <n v="2023"/>
    <n v="1"/>
    <s v="Jan"/>
    <n v="1"/>
    <s v="Sun"/>
    <d v="2026-06-30T10:56:27"/>
    <n v="8"/>
    <s v="Morning"/>
    <n v="2"/>
    <x v="0"/>
    <x v="0"/>
    <n v="29"/>
    <x v="0"/>
    <x v="0"/>
    <s v="Columbian Medium Roast Rg"/>
    <s v="2.5"/>
    <x v="17"/>
    <s v="Weekend"/>
  </r>
  <r>
    <x v="34"/>
    <d v="2023-01-01T00:00:00"/>
    <n v="2023"/>
    <n v="1"/>
    <s v="Jan"/>
    <n v="1"/>
    <s v="Sun"/>
    <d v="2026-06-30T10:57:46"/>
    <n v="8"/>
    <s v="Morning"/>
    <n v="1"/>
    <x v="1"/>
    <x v="1"/>
    <n v="54"/>
    <x v="1"/>
    <x v="1"/>
    <s v="Morning Sunrise Chai Rg"/>
    <s v="2.5"/>
    <x v="11"/>
    <s v="Weekend"/>
  </r>
  <r>
    <x v="35"/>
    <d v="2023-01-01T00:00:00"/>
    <n v="2023"/>
    <n v="1"/>
    <s v="Jan"/>
    <n v="1"/>
    <s v="Sun"/>
    <d v="2026-06-30T10:58:55"/>
    <n v="8"/>
    <s v="Morning"/>
    <n v="1"/>
    <x v="0"/>
    <x v="0"/>
    <n v="26"/>
    <x v="0"/>
    <x v="11"/>
    <s v="Brazilian Rg"/>
    <s v="3"/>
    <x v="4"/>
    <s v="Weekend"/>
  </r>
  <r>
    <x v="36"/>
    <d v="2023-01-01T00:00:00"/>
    <n v="2023"/>
    <n v="1"/>
    <s v="Jan"/>
    <n v="1"/>
    <s v="Sun"/>
    <d v="2026-06-30T11:00:12"/>
    <n v="9"/>
    <s v="Morning"/>
    <n v="1"/>
    <x v="0"/>
    <x v="0"/>
    <n v="55"/>
    <x v="1"/>
    <x v="1"/>
    <s v="Morning Sunrise Chai Lg"/>
    <s v="4"/>
    <x v="5"/>
    <s v="Weekend"/>
  </r>
  <r>
    <x v="37"/>
    <d v="2023-01-01T00:00:00"/>
    <n v="2023"/>
    <n v="1"/>
    <s v="Jan"/>
    <n v="1"/>
    <s v="Sun"/>
    <d v="2026-06-30T11:00:24"/>
    <n v="9"/>
    <s v="Morning"/>
    <n v="2"/>
    <x v="1"/>
    <x v="1"/>
    <n v="40"/>
    <x v="0"/>
    <x v="5"/>
    <s v="Cappuccino"/>
    <s v="3.75"/>
    <x v="16"/>
    <s v="Weekend"/>
  </r>
  <r>
    <x v="38"/>
    <d v="2023-01-01T00:00:00"/>
    <n v="2023"/>
    <n v="1"/>
    <s v="Jan"/>
    <n v="1"/>
    <s v="Sun"/>
    <d v="2026-06-30T11:07:13"/>
    <n v="9"/>
    <s v="Morning"/>
    <n v="1"/>
    <x v="1"/>
    <x v="1"/>
    <n v="45"/>
    <x v="1"/>
    <x v="8"/>
    <s v="Peppermint Lg"/>
    <s v="3"/>
    <x v="4"/>
    <s v="Weekend"/>
  </r>
  <r>
    <x v="39"/>
    <d v="2023-01-01T00:00:00"/>
    <n v="2023"/>
    <n v="1"/>
    <s v="Jan"/>
    <n v="1"/>
    <s v="Sun"/>
    <d v="2026-06-30T11:08:09"/>
    <n v="9"/>
    <s v="Morning"/>
    <n v="2"/>
    <x v="1"/>
    <x v="1"/>
    <n v="45"/>
    <x v="1"/>
    <x v="8"/>
    <s v="Peppermint Lg"/>
    <s v="3"/>
    <x v="0"/>
    <s v="Weekend"/>
  </r>
  <r>
    <x v="40"/>
    <d v="2023-01-01T00:00:00"/>
    <n v="2023"/>
    <n v="1"/>
    <s v="Jan"/>
    <n v="1"/>
    <s v="Sun"/>
    <d v="2026-06-30T11:08:13"/>
    <n v="9"/>
    <s v="Morning"/>
    <n v="1"/>
    <x v="1"/>
    <x v="1"/>
    <n v="24"/>
    <x v="0"/>
    <x v="3"/>
    <s v="Our Old Time Diner Blend Lg"/>
    <s v="3"/>
    <x v="4"/>
    <s v="Weekend"/>
  </r>
  <r>
    <x v="41"/>
    <d v="2023-01-01T00:00:00"/>
    <n v="2023"/>
    <n v="1"/>
    <s v="Jan"/>
    <n v="1"/>
    <s v="Sun"/>
    <d v="2026-06-30T11:10:30"/>
    <n v="9"/>
    <s v="Morning"/>
    <n v="2"/>
    <x v="0"/>
    <x v="0"/>
    <n v="60"/>
    <x v="2"/>
    <x v="2"/>
    <s v="Sustainably Grown Organic Rg"/>
    <s v="3.75"/>
    <x v="16"/>
    <s v="Weekend"/>
  </r>
  <r>
    <x v="42"/>
    <d v="2023-01-01T00:00:00"/>
    <n v="2023"/>
    <n v="1"/>
    <s v="Jan"/>
    <n v="1"/>
    <s v="Sun"/>
    <d v="2026-06-30T11:10:30"/>
    <n v="9"/>
    <s v="Morning"/>
    <n v="1"/>
    <x v="0"/>
    <x v="0"/>
    <n v="78"/>
    <x v="3"/>
    <x v="4"/>
    <s v="Scottish Cream Scone "/>
    <s v="4.5"/>
    <x v="18"/>
    <s v="Weekend"/>
  </r>
  <r>
    <x v="43"/>
    <d v="2023-01-01T00:00:00"/>
    <n v="2023"/>
    <n v="1"/>
    <s v="Jan"/>
    <n v="1"/>
    <s v="Sun"/>
    <d v="2026-06-30T11:11:06"/>
    <n v="9"/>
    <s v="Morning"/>
    <n v="1"/>
    <x v="0"/>
    <x v="0"/>
    <n v="56"/>
    <x v="1"/>
    <x v="1"/>
    <s v="Spicy Eye Opener Chai Rg"/>
    <s v="2.55"/>
    <x v="8"/>
    <s v="Weekend"/>
  </r>
  <r>
    <x v="44"/>
    <d v="2023-01-01T00:00:00"/>
    <n v="2023"/>
    <n v="1"/>
    <s v="Jan"/>
    <n v="1"/>
    <s v="Sun"/>
    <d v="2026-06-30T11:11:06"/>
    <n v="9"/>
    <s v="Morning"/>
    <n v="1"/>
    <x v="0"/>
    <x v="0"/>
    <n v="77"/>
    <x v="3"/>
    <x v="4"/>
    <s v="Oatmeal Scone"/>
    <s v="3"/>
    <x v="4"/>
    <s v="Weekend"/>
  </r>
  <r>
    <x v="45"/>
    <d v="2023-01-01T00:00:00"/>
    <n v="2023"/>
    <n v="1"/>
    <s v="Jan"/>
    <n v="1"/>
    <s v="Sun"/>
    <d v="2026-06-30T11:13:01"/>
    <n v="9"/>
    <s v="Morning"/>
    <n v="1"/>
    <x v="0"/>
    <x v="0"/>
    <n v="44"/>
    <x v="1"/>
    <x v="8"/>
    <s v="Peppermint Rg"/>
    <s v="2.5"/>
    <x v="11"/>
    <s v="Weekend"/>
  </r>
  <r>
    <x v="46"/>
    <d v="2023-01-01T00:00:00"/>
    <n v="2023"/>
    <n v="1"/>
    <s v="Jan"/>
    <n v="1"/>
    <s v="Sun"/>
    <d v="2026-06-30T11:13:15"/>
    <n v="9"/>
    <s v="Morning"/>
    <n v="2"/>
    <x v="0"/>
    <x v="0"/>
    <n v="56"/>
    <x v="1"/>
    <x v="1"/>
    <s v="Spicy Eye Opener Chai Rg"/>
    <s v="2.55"/>
    <x v="13"/>
    <s v="Weekend"/>
  </r>
  <r>
    <x v="47"/>
    <d v="2023-01-01T00:00:00"/>
    <n v="2023"/>
    <n v="1"/>
    <s v="Jan"/>
    <n v="1"/>
    <s v="Sun"/>
    <d v="2026-06-30T11:14:16"/>
    <n v="9"/>
    <s v="Morning"/>
    <n v="1"/>
    <x v="0"/>
    <x v="0"/>
    <n v="48"/>
    <x v="1"/>
    <x v="6"/>
    <s v="English Breakfast Rg"/>
    <s v="2.5"/>
    <x v="11"/>
    <s v="Weekend"/>
  </r>
  <r>
    <x v="48"/>
    <d v="2023-01-01T00:00:00"/>
    <n v="2023"/>
    <n v="1"/>
    <s v="Jan"/>
    <n v="1"/>
    <s v="Sun"/>
    <d v="2026-06-30T11:14:17"/>
    <n v="9"/>
    <s v="Morning"/>
    <n v="1"/>
    <x v="1"/>
    <x v="1"/>
    <n v="23"/>
    <x v="0"/>
    <x v="3"/>
    <s v="Our Old Time Diner Blend Rg"/>
    <s v="2.5"/>
    <x v="11"/>
    <s v="Weekend"/>
  </r>
  <r>
    <x v="49"/>
    <d v="2023-01-01T00:00:00"/>
    <n v="2023"/>
    <n v="1"/>
    <s v="Jan"/>
    <n v="1"/>
    <s v="Sun"/>
    <d v="2026-06-30T11:14:25"/>
    <n v="9"/>
    <s v="Morning"/>
    <n v="1"/>
    <x v="1"/>
    <x v="1"/>
    <n v="46"/>
    <x v="1"/>
    <x v="7"/>
    <s v="Serenity Green Tea Rg"/>
    <s v="2.5"/>
    <x v="11"/>
    <s v="Weekend"/>
  </r>
  <r>
    <x v="50"/>
    <d v="2023-01-01T00:00:00"/>
    <n v="2023"/>
    <n v="1"/>
    <s v="Jan"/>
    <n v="1"/>
    <s v="Sun"/>
    <d v="2026-06-30T11:14:41"/>
    <n v="9"/>
    <s v="Morning"/>
    <n v="1"/>
    <x v="1"/>
    <x v="1"/>
    <n v="32"/>
    <x v="0"/>
    <x v="0"/>
    <s v="Ethiopia Rg"/>
    <s v="3"/>
    <x v="4"/>
    <s v="Weekend"/>
  </r>
  <r>
    <x v="51"/>
    <d v="2023-01-01T00:00:00"/>
    <n v="2023"/>
    <n v="1"/>
    <s v="Jan"/>
    <n v="1"/>
    <s v="Sun"/>
    <d v="2026-06-30T11:15:09"/>
    <n v="9"/>
    <s v="Morning"/>
    <n v="2"/>
    <x v="0"/>
    <x v="0"/>
    <n v="47"/>
    <x v="1"/>
    <x v="7"/>
    <s v="Serenity Green Tea Lg"/>
    <s v="3"/>
    <x v="0"/>
    <s v="Weekend"/>
  </r>
  <r>
    <x v="52"/>
    <d v="2023-01-01T00:00:00"/>
    <n v="2023"/>
    <n v="1"/>
    <s v="Jan"/>
    <n v="1"/>
    <s v="Sun"/>
    <d v="2026-06-30T11:15:13"/>
    <n v="9"/>
    <s v="Morning"/>
    <n v="2"/>
    <x v="0"/>
    <x v="0"/>
    <n v="43"/>
    <x v="1"/>
    <x v="8"/>
    <s v="Lemon Grass Lg"/>
    <s v="3"/>
    <x v="0"/>
    <s v="Weekend"/>
  </r>
  <r>
    <x v="53"/>
    <d v="2023-01-01T00:00:00"/>
    <n v="2023"/>
    <n v="1"/>
    <s v="Jan"/>
    <n v="1"/>
    <s v="Sun"/>
    <d v="2026-06-30T11:19:21"/>
    <n v="9"/>
    <s v="Morning"/>
    <n v="2"/>
    <x v="0"/>
    <x v="0"/>
    <n v="25"/>
    <x v="0"/>
    <x v="11"/>
    <s v="Brazilian Sm"/>
    <s v="2.2"/>
    <x v="19"/>
    <s v="Weekend"/>
  </r>
  <r>
    <x v="54"/>
    <d v="2023-01-01T00:00:00"/>
    <n v="2023"/>
    <n v="1"/>
    <s v="Jan"/>
    <n v="1"/>
    <s v="Sun"/>
    <d v="2026-06-30T11:19:26"/>
    <n v="9"/>
    <s v="Morning"/>
    <n v="1"/>
    <x v="1"/>
    <x v="1"/>
    <n v="59"/>
    <x v="2"/>
    <x v="2"/>
    <s v="Dark chocolate Lg"/>
    <s v="4.5"/>
    <x v="18"/>
    <s v="Weekend"/>
  </r>
  <r>
    <x v="55"/>
    <d v="2023-01-01T00:00:00"/>
    <n v="2023"/>
    <n v="1"/>
    <s v="Jan"/>
    <n v="1"/>
    <s v="Sun"/>
    <d v="2026-06-30T11:21:08"/>
    <n v="9"/>
    <s v="Morning"/>
    <n v="1"/>
    <x v="0"/>
    <x v="0"/>
    <n v="38"/>
    <x v="0"/>
    <x v="5"/>
    <s v="Latte"/>
    <s v="3.75"/>
    <x v="10"/>
    <s v="Weekend"/>
  </r>
  <r>
    <x v="56"/>
    <d v="2023-01-01T00:00:00"/>
    <n v="2023"/>
    <n v="1"/>
    <s v="Jan"/>
    <n v="1"/>
    <s v="Sun"/>
    <d v="2026-06-30T11:22:17"/>
    <n v="9"/>
    <s v="Morning"/>
    <n v="1"/>
    <x v="1"/>
    <x v="1"/>
    <n v="45"/>
    <x v="1"/>
    <x v="8"/>
    <s v="Peppermint Lg"/>
    <s v="3"/>
    <x v="4"/>
    <s v="Weekend"/>
  </r>
  <r>
    <x v="57"/>
    <d v="2023-01-01T00:00:00"/>
    <n v="2023"/>
    <n v="1"/>
    <s v="Jan"/>
    <n v="1"/>
    <s v="Sun"/>
    <d v="2026-06-30T11:22:46"/>
    <n v="9"/>
    <s v="Morning"/>
    <n v="1"/>
    <x v="0"/>
    <x v="0"/>
    <n v="34"/>
    <x v="0"/>
    <x v="12"/>
    <s v="Jamaican Coffee River Sm"/>
    <s v="2.45"/>
    <x v="20"/>
    <s v="Weekend"/>
  </r>
  <r>
    <x v="58"/>
    <d v="2023-01-01T00:00:00"/>
    <n v="2023"/>
    <n v="1"/>
    <s v="Jan"/>
    <n v="1"/>
    <s v="Sun"/>
    <d v="2026-06-30T11:29:56"/>
    <n v="9"/>
    <s v="Morning"/>
    <n v="2"/>
    <x v="1"/>
    <x v="1"/>
    <n v="36"/>
    <x v="0"/>
    <x v="12"/>
    <s v="Jamaican Coffee River Lg"/>
    <s v="3.75"/>
    <x v="16"/>
    <s v="Weekend"/>
  </r>
  <r>
    <x v="59"/>
    <d v="2023-01-01T00:00:00"/>
    <n v="2023"/>
    <n v="1"/>
    <s v="Jan"/>
    <n v="1"/>
    <s v="Sun"/>
    <d v="2026-06-30T11:29:56"/>
    <n v="9"/>
    <s v="Morning"/>
    <n v="1"/>
    <x v="1"/>
    <x v="1"/>
    <n v="74"/>
    <x v="3"/>
    <x v="9"/>
    <s v="Ginger Biscotti"/>
    <s v="3.5"/>
    <x v="15"/>
    <s v="Weekend"/>
  </r>
  <r>
    <x v="60"/>
    <d v="2023-01-01T00:00:00"/>
    <n v="2023"/>
    <n v="1"/>
    <s v="Jan"/>
    <n v="1"/>
    <s v="Sun"/>
    <d v="2026-06-30T11:29:57"/>
    <n v="9"/>
    <s v="Morning"/>
    <n v="1"/>
    <x v="1"/>
    <x v="1"/>
    <n v="53"/>
    <x v="1"/>
    <x v="1"/>
    <s v="Traditional Blend Chai Lg"/>
    <s v="3"/>
    <x v="4"/>
    <s v="Weekend"/>
  </r>
  <r>
    <x v="61"/>
    <d v="2023-01-01T00:00:00"/>
    <n v="2023"/>
    <n v="1"/>
    <s v="Jan"/>
    <n v="1"/>
    <s v="Sun"/>
    <d v="2026-06-30T11:34:17"/>
    <n v="9"/>
    <s v="Morning"/>
    <n v="2"/>
    <x v="1"/>
    <x v="1"/>
    <n v="41"/>
    <x v="0"/>
    <x v="5"/>
    <s v="Cappuccino Lg"/>
    <s v="4.25"/>
    <x v="21"/>
    <s v="Weekend"/>
  </r>
  <r>
    <x v="62"/>
    <d v="2023-01-01T00:00:00"/>
    <n v="2023"/>
    <n v="1"/>
    <s v="Jan"/>
    <n v="1"/>
    <s v="Sun"/>
    <d v="2026-06-30T11:40:13"/>
    <n v="9"/>
    <s v="Morning"/>
    <n v="1"/>
    <x v="0"/>
    <x v="0"/>
    <n v="41"/>
    <x v="0"/>
    <x v="5"/>
    <s v="Cappuccino Lg"/>
    <s v="4.25"/>
    <x v="6"/>
    <s v="Weekend"/>
  </r>
  <r>
    <x v="63"/>
    <d v="2023-01-01T00:00:00"/>
    <n v="2023"/>
    <n v="1"/>
    <s v="Jan"/>
    <n v="1"/>
    <s v="Sun"/>
    <d v="2026-06-30T11:41:22"/>
    <n v="9"/>
    <s v="Morning"/>
    <n v="2"/>
    <x v="0"/>
    <x v="0"/>
    <n v="45"/>
    <x v="1"/>
    <x v="8"/>
    <s v="Peppermint Lg"/>
    <s v="3"/>
    <x v="0"/>
    <s v="Weekend"/>
  </r>
  <r>
    <x v="64"/>
    <d v="2023-01-01T00:00:00"/>
    <n v="2023"/>
    <n v="1"/>
    <s v="Jan"/>
    <n v="1"/>
    <s v="Sun"/>
    <d v="2026-06-30T11:41:22"/>
    <n v="9"/>
    <s v="Morning"/>
    <n v="1"/>
    <x v="0"/>
    <x v="0"/>
    <n v="79"/>
    <x v="3"/>
    <x v="4"/>
    <s v="Jumbo Savory Scone"/>
    <s v="3.75"/>
    <x v="10"/>
    <s v="Weekend"/>
  </r>
  <r>
    <x v="65"/>
    <d v="2023-01-01T00:00:00"/>
    <n v="2023"/>
    <n v="1"/>
    <s v="Jan"/>
    <n v="1"/>
    <s v="Sun"/>
    <d v="2026-06-30T11:44:20"/>
    <n v="9"/>
    <s v="Morning"/>
    <n v="2"/>
    <x v="0"/>
    <x v="0"/>
    <n v="54"/>
    <x v="1"/>
    <x v="1"/>
    <s v="Morning Sunrise Chai Rg"/>
    <s v="2.5"/>
    <x v="17"/>
    <s v="Weekend"/>
  </r>
  <r>
    <x v="66"/>
    <d v="2023-01-01T00:00:00"/>
    <n v="2023"/>
    <n v="1"/>
    <s v="Jan"/>
    <n v="1"/>
    <s v="Sun"/>
    <d v="2026-06-30T11:44:46"/>
    <n v="9"/>
    <s v="Morning"/>
    <n v="1"/>
    <x v="0"/>
    <x v="0"/>
    <n v="24"/>
    <x v="0"/>
    <x v="3"/>
    <s v="Our Old Time Diner Blend Lg"/>
    <s v="3"/>
    <x v="4"/>
    <s v="Weekend"/>
  </r>
  <r>
    <x v="67"/>
    <d v="2023-01-01T00:00:00"/>
    <n v="2023"/>
    <n v="1"/>
    <s v="Jan"/>
    <n v="1"/>
    <s v="Sun"/>
    <d v="2026-06-30T11:46:46"/>
    <n v="9"/>
    <s v="Morning"/>
    <n v="2"/>
    <x v="0"/>
    <x v="0"/>
    <n v="37"/>
    <x v="0"/>
    <x v="5"/>
    <s v="Espresso shot"/>
    <s v="3"/>
    <x v="0"/>
    <s v="Weekend"/>
  </r>
  <r>
    <x v="68"/>
    <d v="2023-01-01T00:00:00"/>
    <n v="2023"/>
    <n v="1"/>
    <s v="Jan"/>
    <n v="1"/>
    <s v="Sun"/>
    <d v="2026-06-30T11:47:40"/>
    <n v="9"/>
    <s v="Morning"/>
    <n v="2"/>
    <x v="1"/>
    <x v="1"/>
    <n v="40"/>
    <x v="0"/>
    <x v="5"/>
    <s v="Cappuccino"/>
    <s v="3.75"/>
    <x v="16"/>
    <s v="Weekend"/>
  </r>
  <r>
    <x v="69"/>
    <d v="2023-01-01T00:00:00"/>
    <n v="2023"/>
    <n v="1"/>
    <s v="Jan"/>
    <n v="1"/>
    <s v="Sun"/>
    <d v="2026-06-30T11:50:44"/>
    <n v="9"/>
    <s v="Morning"/>
    <n v="2"/>
    <x v="0"/>
    <x v="0"/>
    <n v="37"/>
    <x v="0"/>
    <x v="5"/>
    <s v="Espresso shot"/>
    <s v="3"/>
    <x v="0"/>
    <s v="Weekend"/>
  </r>
  <r>
    <x v="70"/>
    <d v="2023-01-01T00:00:00"/>
    <n v="2023"/>
    <n v="1"/>
    <s v="Jan"/>
    <n v="1"/>
    <s v="Sun"/>
    <d v="2026-06-30T11:50:44"/>
    <n v="9"/>
    <s v="Morning"/>
    <n v="1"/>
    <x v="0"/>
    <x v="0"/>
    <n v="69"/>
    <x v="3"/>
    <x v="9"/>
    <s v="Hazelnut Biscotti"/>
    <s v="3.25"/>
    <x v="14"/>
    <s v="Weekend"/>
  </r>
  <r>
    <x v="71"/>
    <d v="2023-01-01T00:00:00"/>
    <n v="2023"/>
    <n v="1"/>
    <s v="Jan"/>
    <n v="1"/>
    <s v="Sun"/>
    <d v="2026-06-30T11:52:58"/>
    <n v="9"/>
    <s v="Morning"/>
    <n v="1"/>
    <x v="0"/>
    <x v="0"/>
    <n v="50"/>
    <x v="1"/>
    <x v="6"/>
    <s v="Earl Grey Rg"/>
    <s v="2.5"/>
    <x v="11"/>
    <s v="Weekend"/>
  </r>
  <r>
    <x v="72"/>
    <d v="2023-01-01T00:00:00"/>
    <n v="2023"/>
    <n v="1"/>
    <s v="Jan"/>
    <n v="1"/>
    <s v="Sun"/>
    <d v="2026-06-30T11:53:28"/>
    <n v="9"/>
    <s v="Morning"/>
    <n v="1"/>
    <x v="1"/>
    <x v="1"/>
    <n v="47"/>
    <x v="1"/>
    <x v="7"/>
    <s v="Serenity Green Tea Lg"/>
    <s v="3"/>
    <x v="4"/>
    <s v="Weekend"/>
  </r>
  <r>
    <x v="73"/>
    <d v="2023-01-01T00:00:00"/>
    <n v="2023"/>
    <n v="1"/>
    <s v="Jan"/>
    <n v="1"/>
    <s v="Sun"/>
    <d v="2026-06-30T11:53:44"/>
    <n v="9"/>
    <s v="Morning"/>
    <n v="2"/>
    <x v="1"/>
    <x v="1"/>
    <n v="40"/>
    <x v="0"/>
    <x v="5"/>
    <s v="Cappuccino"/>
    <s v="3.75"/>
    <x v="16"/>
    <s v="Weekend"/>
  </r>
  <r>
    <x v="74"/>
    <d v="2023-01-01T00:00:00"/>
    <n v="2023"/>
    <n v="1"/>
    <s v="Jan"/>
    <n v="1"/>
    <s v="Sun"/>
    <d v="2026-06-30T11:53:44"/>
    <n v="9"/>
    <s v="Morning"/>
    <n v="1"/>
    <x v="1"/>
    <x v="1"/>
    <n v="72"/>
    <x v="3"/>
    <x v="4"/>
    <s v="Ginger Scone"/>
    <s v="3.25"/>
    <x v="14"/>
    <s v="Weekend"/>
  </r>
  <r>
    <x v="75"/>
    <d v="2023-01-01T00:00:00"/>
    <n v="2023"/>
    <n v="1"/>
    <s v="Jan"/>
    <n v="1"/>
    <s v="Sun"/>
    <d v="2026-06-30T11:53:49"/>
    <n v="9"/>
    <s v="Morning"/>
    <n v="1"/>
    <x v="1"/>
    <x v="1"/>
    <n v="35"/>
    <x v="0"/>
    <x v="12"/>
    <s v="Jamaican Coffee River Rg"/>
    <s v="3.1"/>
    <x v="9"/>
    <s v="Weekend"/>
  </r>
  <r>
    <x v="76"/>
    <d v="2023-01-01T00:00:00"/>
    <n v="2023"/>
    <n v="1"/>
    <s v="Jan"/>
    <n v="1"/>
    <s v="Sun"/>
    <d v="2026-06-30T11:54:46"/>
    <n v="9"/>
    <s v="Morning"/>
    <n v="1"/>
    <x v="0"/>
    <x v="0"/>
    <n v="23"/>
    <x v="0"/>
    <x v="3"/>
    <s v="Our Old Time Diner Blend Rg"/>
    <s v="2.5"/>
    <x v="11"/>
    <s v="Weekend"/>
  </r>
  <r>
    <x v="77"/>
    <d v="2023-01-01T00:00:00"/>
    <n v="2023"/>
    <n v="1"/>
    <s v="Jan"/>
    <n v="1"/>
    <s v="Sun"/>
    <d v="2026-06-30T11:55:16"/>
    <n v="9"/>
    <s v="Morning"/>
    <n v="2"/>
    <x v="0"/>
    <x v="0"/>
    <n v="43"/>
    <x v="1"/>
    <x v="8"/>
    <s v="Lemon Grass Lg"/>
    <s v="3"/>
    <x v="0"/>
    <s v="Weekend"/>
  </r>
  <r>
    <x v="78"/>
    <d v="2023-01-01T00:00:00"/>
    <n v="2023"/>
    <n v="1"/>
    <s v="Jan"/>
    <n v="1"/>
    <s v="Sun"/>
    <d v="2026-06-30T11:56:30"/>
    <n v="9"/>
    <s v="Morning"/>
    <n v="1"/>
    <x v="1"/>
    <x v="1"/>
    <n v="22"/>
    <x v="0"/>
    <x v="3"/>
    <s v="Our Old Time Diner Blend Sm"/>
    <s v="2"/>
    <x v="3"/>
    <s v="Weekend"/>
  </r>
  <r>
    <x v="79"/>
    <d v="2023-01-01T00:00:00"/>
    <n v="2023"/>
    <n v="1"/>
    <s v="Jan"/>
    <n v="1"/>
    <s v="Sun"/>
    <d v="2026-06-30T12:00:39"/>
    <n v="10"/>
    <s v="Morning"/>
    <n v="2"/>
    <x v="1"/>
    <x v="1"/>
    <n v="32"/>
    <x v="0"/>
    <x v="0"/>
    <s v="Ethiopia Rg"/>
    <s v="3"/>
    <x v="0"/>
    <s v="Weekend"/>
  </r>
  <r>
    <x v="80"/>
    <d v="2023-01-01T00:00:00"/>
    <n v="2023"/>
    <n v="1"/>
    <s v="Jan"/>
    <n v="1"/>
    <s v="Sun"/>
    <d v="2026-06-30T12:03:55"/>
    <n v="10"/>
    <s v="Morning"/>
    <n v="2"/>
    <x v="1"/>
    <x v="1"/>
    <n v="36"/>
    <x v="0"/>
    <x v="12"/>
    <s v="Jamaican Coffee River Lg"/>
    <s v="3.75"/>
    <x v="16"/>
    <s v="Weekend"/>
  </r>
  <r>
    <x v="81"/>
    <d v="2023-01-01T00:00:00"/>
    <n v="2023"/>
    <n v="1"/>
    <s v="Jan"/>
    <n v="1"/>
    <s v="Sun"/>
    <d v="2026-06-30T12:14:49"/>
    <n v="10"/>
    <s v="Morning"/>
    <n v="1"/>
    <x v="0"/>
    <x v="0"/>
    <n v="26"/>
    <x v="0"/>
    <x v="11"/>
    <s v="Brazilian Rg"/>
    <s v="3"/>
    <x v="4"/>
    <s v="Weekend"/>
  </r>
  <r>
    <x v="82"/>
    <d v="2023-01-01T00:00:00"/>
    <n v="2023"/>
    <n v="1"/>
    <s v="Jan"/>
    <n v="1"/>
    <s v="Sun"/>
    <d v="2026-06-30T12:14:49"/>
    <n v="10"/>
    <s v="Morning"/>
    <n v="1"/>
    <x v="0"/>
    <x v="0"/>
    <n v="71"/>
    <x v="3"/>
    <x v="10"/>
    <s v="Chocolate Croissant"/>
    <s v="3.75"/>
    <x v="10"/>
    <s v="Weekend"/>
  </r>
  <r>
    <x v="83"/>
    <d v="2023-01-01T00:00:00"/>
    <n v="2023"/>
    <n v="1"/>
    <s v="Jan"/>
    <n v="1"/>
    <s v="Sun"/>
    <d v="2026-06-30T12:16:30"/>
    <n v="10"/>
    <s v="Morning"/>
    <n v="2"/>
    <x v="0"/>
    <x v="0"/>
    <n v="32"/>
    <x v="0"/>
    <x v="0"/>
    <s v="Ethiopia Rg"/>
    <s v="3"/>
    <x v="0"/>
    <s v="Weekend"/>
  </r>
  <r>
    <x v="84"/>
    <d v="2023-01-01T00:00:00"/>
    <n v="2023"/>
    <n v="1"/>
    <s v="Jan"/>
    <n v="1"/>
    <s v="Sun"/>
    <d v="2026-06-30T12:16:33"/>
    <n v="10"/>
    <s v="Morning"/>
    <n v="1"/>
    <x v="1"/>
    <x v="1"/>
    <n v="54"/>
    <x v="1"/>
    <x v="1"/>
    <s v="Morning Sunrise Chai Rg"/>
    <s v="2.5"/>
    <x v="11"/>
    <s v="Weekend"/>
  </r>
  <r>
    <x v="85"/>
    <d v="2023-01-01T00:00:00"/>
    <n v="2023"/>
    <n v="1"/>
    <s v="Jan"/>
    <n v="1"/>
    <s v="Sun"/>
    <d v="2026-06-30T12:18:14"/>
    <n v="10"/>
    <s v="Morning"/>
    <n v="2"/>
    <x v="1"/>
    <x v="1"/>
    <n v="41"/>
    <x v="0"/>
    <x v="5"/>
    <s v="Cappuccino Lg"/>
    <s v="4.25"/>
    <x v="21"/>
    <s v="Weekend"/>
  </r>
  <r>
    <x v="86"/>
    <d v="2023-01-01T00:00:00"/>
    <n v="2023"/>
    <n v="1"/>
    <s v="Jan"/>
    <n v="1"/>
    <s v="Sun"/>
    <d v="2026-06-30T12:18:52"/>
    <n v="10"/>
    <s v="Morning"/>
    <n v="2"/>
    <x v="0"/>
    <x v="0"/>
    <n v="25"/>
    <x v="0"/>
    <x v="11"/>
    <s v="Brazilian Sm"/>
    <s v="2.2"/>
    <x v="19"/>
    <s v="Weekend"/>
  </r>
  <r>
    <x v="87"/>
    <d v="2023-01-01T00:00:00"/>
    <n v="2023"/>
    <n v="1"/>
    <s v="Jan"/>
    <n v="1"/>
    <s v="Sun"/>
    <d v="2026-06-30T12:19:42"/>
    <n v="10"/>
    <s v="Morning"/>
    <n v="2"/>
    <x v="0"/>
    <x v="0"/>
    <n v="23"/>
    <x v="0"/>
    <x v="3"/>
    <s v="Our Old Time Diner Blend Rg"/>
    <s v="2.5"/>
    <x v="17"/>
    <s v="Weekend"/>
  </r>
  <r>
    <x v="88"/>
    <d v="2023-01-01T00:00:00"/>
    <n v="2023"/>
    <n v="1"/>
    <s v="Jan"/>
    <n v="1"/>
    <s v="Sun"/>
    <d v="2026-06-30T12:24:19"/>
    <n v="10"/>
    <s v="Morning"/>
    <n v="1"/>
    <x v="1"/>
    <x v="1"/>
    <n v="54"/>
    <x v="1"/>
    <x v="1"/>
    <s v="Morning Sunrise Chai Rg"/>
    <s v="2.5"/>
    <x v="11"/>
    <s v="Weekend"/>
  </r>
  <r>
    <x v="89"/>
    <d v="2023-01-01T00:00:00"/>
    <n v="2023"/>
    <n v="1"/>
    <s v="Jan"/>
    <n v="1"/>
    <s v="Sun"/>
    <d v="2026-06-30T12:25:22"/>
    <n v="10"/>
    <s v="Morning"/>
    <n v="2"/>
    <x v="1"/>
    <x v="1"/>
    <n v="56"/>
    <x v="1"/>
    <x v="1"/>
    <s v="Spicy Eye Opener Chai Rg"/>
    <s v="2.55"/>
    <x v="13"/>
    <s v="Weekend"/>
  </r>
  <r>
    <x v="90"/>
    <d v="2023-01-01T00:00:00"/>
    <n v="2023"/>
    <n v="1"/>
    <s v="Jan"/>
    <n v="1"/>
    <s v="Sun"/>
    <d v="2026-06-30T12:25:45"/>
    <n v="10"/>
    <s v="Morning"/>
    <n v="2"/>
    <x v="0"/>
    <x v="0"/>
    <n v="58"/>
    <x v="2"/>
    <x v="2"/>
    <s v="Dark chocolate Rg"/>
    <s v="3.5"/>
    <x v="7"/>
    <s v="Weekend"/>
  </r>
  <r>
    <x v="91"/>
    <d v="2023-01-01T00:00:00"/>
    <n v="2023"/>
    <n v="1"/>
    <s v="Jan"/>
    <n v="1"/>
    <s v="Sun"/>
    <d v="2026-06-30T12:25:45"/>
    <n v="10"/>
    <s v="Morning"/>
    <n v="1"/>
    <x v="0"/>
    <x v="0"/>
    <n v="74"/>
    <x v="3"/>
    <x v="9"/>
    <s v="Ginger Biscotti"/>
    <s v="3.5"/>
    <x v="15"/>
    <s v="Weekend"/>
  </r>
  <r>
    <x v="92"/>
    <d v="2023-01-01T00:00:00"/>
    <n v="2023"/>
    <n v="1"/>
    <s v="Jan"/>
    <n v="1"/>
    <s v="Sun"/>
    <d v="2026-06-30T12:27:48"/>
    <n v="10"/>
    <s v="Morning"/>
    <n v="2"/>
    <x v="1"/>
    <x v="1"/>
    <n v="47"/>
    <x v="1"/>
    <x v="7"/>
    <s v="Serenity Green Tea Lg"/>
    <s v="3"/>
    <x v="0"/>
    <s v="Weekend"/>
  </r>
  <r>
    <x v="93"/>
    <d v="2023-01-01T00:00:00"/>
    <n v="2023"/>
    <n v="1"/>
    <s v="Jan"/>
    <n v="1"/>
    <s v="Sun"/>
    <d v="2026-06-30T12:30:07"/>
    <n v="10"/>
    <s v="Morning"/>
    <n v="1"/>
    <x v="0"/>
    <x v="0"/>
    <n v="35"/>
    <x v="0"/>
    <x v="12"/>
    <s v="Jamaican Coffee River Rg"/>
    <s v="3.1"/>
    <x v="9"/>
    <s v="Weekend"/>
  </r>
  <r>
    <x v="94"/>
    <d v="2023-01-01T00:00:00"/>
    <n v="2023"/>
    <n v="1"/>
    <s v="Jan"/>
    <n v="1"/>
    <s v="Sun"/>
    <d v="2026-06-30T12:30:07"/>
    <n v="10"/>
    <s v="Morning"/>
    <n v="1"/>
    <x v="0"/>
    <x v="0"/>
    <n v="70"/>
    <x v="3"/>
    <x v="4"/>
    <s v="Cranberry Scone"/>
    <s v="3.25"/>
    <x v="14"/>
    <s v="Weekend"/>
  </r>
  <r>
    <x v="95"/>
    <d v="2023-01-01T00:00:00"/>
    <n v="2023"/>
    <n v="1"/>
    <s v="Jan"/>
    <n v="1"/>
    <s v="Sun"/>
    <d v="2026-06-30T12:35:47"/>
    <n v="10"/>
    <s v="Morning"/>
    <n v="1"/>
    <x v="1"/>
    <x v="1"/>
    <n v="60"/>
    <x v="2"/>
    <x v="2"/>
    <s v="Sustainably Grown Organic Rg"/>
    <s v="3.75"/>
    <x v="10"/>
    <s v="Weekend"/>
  </r>
  <r>
    <x v="96"/>
    <d v="2023-01-01T00:00:00"/>
    <n v="2023"/>
    <n v="1"/>
    <s v="Jan"/>
    <n v="1"/>
    <s v="Sun"/>
    <d v="2026-06-30T12:41:53"/>
    <n v="10"/>
    <s v="Morning"/>
    <n v="1"/>
    <x v="0"/>
    <x v="0"/>
    <n v="59"/>
    <x v="2"/>
    <x v="2"/>
    <s v="Dark chocolate Lg"/>
    <s v="4.5"/>
    <x v="18"/>
    <s v="Weekend"/>
  </r>
  <r>
    <x v="97"/>
    <d v="2023-01-01T00:00:00"/>
    <n v="2023"/>
    <n v="1"/>
    <s v="Jan"/>
    <n v="1"/>
    <s v="Sun"/>
    <d v="2026-06-30T12:47:53"/>
    <n v="10"/>
    <s v="Morning"/>
    <n v="2"/>
    <x v="0"/>
    <x v="0"/>
    <n v="36"/>
    <x v="0"/>
    <x v="12"/>
    <s v="Jamaican Coffee River Lg"/>
    <s v="3.75"/>
    <x v="16"/>
    <s v="Weekend"/>
  </r>
  <r>
    <x v="98"/>
    <d v="2023-01-01T00:00:00"/>
    <n v="2023"/>
    <n v="1"/>
    <s v="Jan"/>
    <n v="1"/>
    <s v="Sun"/>
    <d v="2026-06-30T12:49:13"/>
    <n v="10"/>
    <s v="Morning"/>
    <n v="2"/>
    <x v="1"/>
    <x v="1"/>
    <n v="51"/>
    <x v="1"/>
    <x v="6"/>
    <s v="Earl Grey Lg"/>
    <s v="3"/>
    <x v="0"/>
    <s v="Weekend"/>
  </r>
  <r>
    <x v="99"/>
    <d v="2023-01-01T00:00:00"/>
    <n v="2023"/>
    <n v="1"/>
    <s v="Jan"/>
    <n v="1"/>
    <s v="Sun"/>
    <d v="2026-06-30T12:49:51"/>
    <n v="10"/>
    <s v="Morning"/>
    <n v="2"/>
    <x v="0"/>
    <x v="0"/>
    <n v="61"/>
    <x v="2"/>
    <x v="2"/>
    <s v="Sustainably Grown Organic Lg"/>
    <s v="4.75"/>
    <x v="22"/>
    <s v="Weekend"/>
  </r>
  <r>
    <x v="100"/>
    <d v="2023-01-01T00:00:00"/>
    <n v="2023"/>
    <n v="1"/>
    <s v="Jan"/>
    <n v="1"/>
    <s v="Sun"/>
    <d v="2026-06-30T12:51:17"/>
    <n v="10"/>
    <s v="Morning"/>
    <n v="1"/>
    <x v="0"/>
    <x v="0"/>
    <n v="47"/>
    <x v="1"/>
    <x v="7"/>
    <s v="Serenity Green Tea Lg"/>
    <s v="3"/>
    <x v="4"/>
    <s v="Weekend"/>
  </r>
  <r>
    <x v="101"/>
    <d v="2023-01-01T00:00:00"/>
    <n v="2023"/>
    <n v="1"/>
    <s v="Jan"/>
    <n v="1"/>
    <s v="Sun"/>
    <d v="2026-06-30T12:52:44"/>
    <n v="10"/>
    <s v="Morning"/>
    <n v="2"/>
    <x v="1"/>
    <x v="1"/>
    <n v="23"/>
    <x v="0"/>
    <x v="3"/>
    <s v="Our Old Time Diner Blend Rg"/>
    <s v="2.5"/>
    <x v="17"/>
    <s v="Weekend"/>
  </r>
  <r>
    <x v="102"/>
    <d v="2023-01-01T00:00:00"/>
    <n v="2023"/>
    <n v="1"/>
    <s v="Jan"/>
    <n v="1"/>
    <s v="Sun"/>
    <d v="2026-06-30T12:52:44"/>
    <n v="10"/>
    <s v="Morning"/>
    <n v="1"/>
    <x v="1"/>
    <x v="1"/>
    <n v="73"/>
    <x v="3"/>
    <x v="10"/>
    <s v="Almond Croissant"/>
    <s v="3.75"/>
    <x v="10"/>
    <s v="Weekend"/>
  </r>
  <r>
    <x v="103"/>
    <d v="2023-01-01T00:00:00"/>
    <n v="2023"/>
    <n v="1"/>
    <s v="Jan"/>
    <n v="1"/>
    <s v="Sun"/>
    <d v="2026-06-30T12:56:14"/>
    <n v="10"/>
    <s v="Morning"/>
    <n v="1"/>
    <x v="0"/>
    <x v="0"/>
    <n v="38"/>
    <x v="0"/>
    <x v="5"/>
    <s v="Latte"/>
    <s v="3.75"/>
    <x v="10"/>
    <s v="Weekend"/>
  </r>
  <r>
    <x v="104"/>
    <d v="2023-01-01T00:00:00"/>
    <n v="2023"/>
    <n v="1"/>
    <s v="Jan"/>
    <n v="1"/>
    <s v="Sun"/>
    <d v="2026-06-30T12:56:14"/>
    <n v="10"/>
    <s v="Morning"/>
    <n v="1"/>
    <x v="0"/>
    <x v="0"/>
    <n v="76"/>
    <x v="3"/>
    <x v="9"/>
    <s v="Chocolate Chip Biscotti"/>
    <s v="3.5"/>
    <x v="15"/>
    <s v="Weekend"/>
  </r>
  <r>
    <x v="105"/>
    <d v="2023-01-01T00:00:00"/>
    <n v="2023"/>
    <n v="1"/>
    <s v="Jan"/>
    <n v="1"/>
    <s v="Sun"/>
    <d v="2026-06-30T13:01:48"/>
    <n v="11"/>
    <s v="Morning"/>
    <n v="1"/>
    <x v="2"/>
    <x v="2"/>
    <n v="22"/>
    <x v="0"/>
    <x v="3"/>
    <s v="Our Old Time Diner Blend Sm"/>
    <s v="2"/>
    <x v="3"/>
    <s v="Weekend"/>
  </r>
  <r>
    <x v="106"/>
    <d v="2023-01-01T00:00:00"/>
    <n v="2023"/>
    <n v="1"/>
    <s v="Jan"/>
    <n v="1"/>
    <s v="Sun"/>
    <d v="2026-06-30T13:01:58"/>
    <n v="11"/>
    <s v="Morning"/>
    <n v="1"/>
    <x v="2"/>
    <x v="2"/>
    <n v="38"/>
    <x v="0"/>
    <x v="5"/>
    <s v="Latte"/>
    <s v="3.75"/>
    <x v="10"/>
    <s v="Weekend"/>
  </r>
  <r>
    <x v="107"/>
    <d v="2023-01-01T00:00:00"/>
    <n v="2023"/>
    <n v="1"/>
    <s v="Jan"/>
    <n v="1"/>
    <s v="Sun"/>
    <d v="2026-06-30T13:01:58"/>
    <n v="11"/>
    <s v="Morning"/>
    <n v="1"/>
    <x v="2"/>
    <x v="2"/>
    <n v="75"/>
    <x v="3"/>
    <x v="10"/>
    <s v="Croissant"/>
    <s v="3.5"/>
    <x v="15"/>
    <s v="Weekend"/>
  </r>
  <r>
    <x v="108"/>
    <d v="2023-01-01T00:00:00"/>
    <n v="2023"/>
    <n v="1"/>
    <s v="Jan"/>
    <n v="1"/>
    <s v="Sun"/>
    <d v="2026-06-30T13:03:25"/>
    <n v="11"/>
    <s v="Morning"/>
    <n v="2"/>
    <x v="0"/>
    <x v="0"/>
    <n v="47"/>
    <x v="1"/>
    <x v="7"/>
    <s v="Serenity Green Tea Lg"/>
    <s v="3"/>
    <x v="0"/>
    <s v="Weekend"/>
  </r>
  <r>
    <x v="109"/>
    <d v="2023-01-01T00:00:00"/>
    <n v="2023"/>
    <n v="1"/>
    <s v="Jan"/>
    <n v="1"/>
    <s v="Sun"/>
    <d v="2026-06-30T13:03:25"/>
    <n v="11"/>
    <s v="Morning"/>
    <n v="1"/>
    <x v="0"/>
    <x v="0"/>
    <n v="75"/>
    <x v="3"/>
    <x v="10"/>
    <s v="Croissant"/>
    <s v="3.5"/>
    <x v="15"/>
    <s v="Weekend"/>
  </r>
  <r>
    <x v="110"/>
    <d v="2023-01-01T00:00:00"/>
    <n v="2023"/>
    <n v="1"/>
    <s v="Jan"/>
    <n v="1"/>
    <s v="Sun"/>
    <d v="2026-06-30T13:04:32"/>
    <n v="11"/>
    <s v="Morning"/>
    <n v="2"/>
    <x v="1"/>
    <x v="1"/>
    <n v="39"/>
    <x v="0"/>
    <x v="5"/>
    <s v="Latte Rg"/>
    <s v="4.25"/>
    <x v="21"/>
    <s v="Weekend"/>
  </r>
  <r>
    <x v="111"/>
    <d v="2023-01-01T00:00:00"/>
    <n v="2023"/>
    <n v="1"/>
    <s v="Jan"/>
    <n v="1"/>
    <s v="Sun"/>
    <d v="2026-06-30T13:08:11"/>
    <n v="11"/>
    <s v="Morning"/>
    <n v="1"/>
    <x v="2"/>
    <x v="2"/>
    <n v="59"/>
    <x v="2"/>
    <x v="2"/>
    <s v="Dark chocolate Lg"/>
    <s v="4.5"/>
    <x v="18"/>
    <s v="Weekend"/>
  </r>
  <r>
    <x v="112"/>
    <d v="2023-01-01T00:00:00"/>
    <n v="2023"/>
    <n v="1"/>
    <s v="Jan"/>
    <n v="1"/>
    <s v="Sun"/>
    <d v="2026-06-30T13:08:59"/>
    <n v="11"/>
    <s v="Morning"/>
    <n v="2"/>
    <x v="1"/>
    <x v="1"/>
    <n v="51"/>
    <x v="1"/>
    <x v="6"/>
    <s v="Earl Grey Lg"/>
    <s v="3"/>
    <x v="0"/>
    <s v="Weekend"/>
  </r>
  <r>
    <x v="113"/>
    <d v="2023-01-01T00:00:00"/>
    <n v="2023"/>
    <n v="1"/>
    <s v="Jan"/>
    <n v="1"/>
    <s v="Sun"/>
    <d v="2026-06-30T13:09:01"/>
    <n v="11"/>
    <s v="Morning"/>
    <n v="1"/>
    <x v="2"/>
    <x v="2"/>
    <n v="59"/>
    <x v="2"/>
    <x v="2"/>
    <s v="Dark chocolate Lg"/>
    <s v="4.5"/>
    <x v="18"/>
    <s v="Weekend"/>
  </r>
  <r>
    <x v="114"/>
    <d v="2023-01-01T00:00:00"/>
    <n v="2023"/>
    <n v="1"/>
    <s v="Jan"/>
    <n v="1"/>
    <s v="Sun"/>
    <d v="2026-06-30T13:10:21"/>
    <n v="11"/>
    <s v="Morning"/>
    <n v="1"/>
    <x v="2"/>
    <x v="2"/>
    <n v="47"/>
    <x v="1"/>
    <x v="7"/>
    <s v="Serenity Green Tea Lg"/>
    <s v="3"/>
    <x v="4"/>
    <s v="Weekend"/>
  </r>
  <r>
    <x v="115"/>
    <d v="2023-01-01T00:00:00"/>
    <n v="2023"/>
    <n v="1"/>
    <s v="Jan"/>
    <n v="1"/>
    <s v="Sun"/>
    <d v="2026-06-30T13:10:21"/>
    <n v="11"/>
    <s v="Morning"/>
    <n v="1"/>
    <x v="2"/>
    <x v="2"/>
    <n v="79"/>
    <x v="3"/>
    <x v="4"/>
    <s v="Jumbo Savory Scone"/>
    <s v="3.75"/>
    <x v="10"/>
    <s v="Weekend"/>
  </r>
  <r>
    <x v="116"/>
    <d v="2023-01-01T00:00:00"/>
    <n v="2023"/>
    <n v="1"/>
    <s v="Jan"/>
    <n v="1"/>
    <s v="Sun"/>
    <d v="2026-06-30T13:10:58"/>
    <n v="11"/>
    <s v="Morning"/>
    <n v="1"/>
    <x v="2"/>
    <x v="2"/>
    <n v="46"/>
    <x v="1"/>
    <x v="7"/>
    <s v="Serenity Green Tea Rg"/>
    <s v="2.5"/>
    <x v="11"/>
    <s v="Weekend"/>
  </r>
  <r>
    <x v="117"/>
    <d v="2023-01-01T00:00:00"/>
    <n v="2023"/>
    <n v="1"/>
    <s v="Jan"/>
    <n v="1"/>
    <s v="Sun"/>
    <d v="2026-06-30T13:12:29"/>
    <n v="11"/>
    <s v="Morning"/>
    <n v="1"/>
    <x v="2"/>
    <x v="2"/>
    <n v="43"/>
    <x v="1"/>
    <x v="8"/>
    <s v="Lemon Grass Lg"/>
    <s v="3"/>
    <x v="4"/>
    <s v="Weekend"/>
  </r>
  <r>
    <x v="118"/>
    <d v="2023-01-01T00:00:00"/>
    <n v="2023"/>
    <n v="1"/>
    <s v="Jan"/>
    <n v="1"/>
    <s v="Sun"/>
    <d v="2026-06-30T13:16:02"/>
    <n v="11"/>
    <s v="Morning"/>
    <n v="2"/>
    <x v="2"/>
    <x v="2"/>
    <n v="45"/>
    <x v="1"/>
    <x v="8"/>
    <s v="Peppermint Lg"/>
    <s v="3"/>
    <x v="0"/>
    <s v="Weekend"/>
  </r>
  <r>
    <x v="119"/>
    <d v="2023-01-01T00:00:00"/>
    <n v="2023"/>
    <n v="1"/>
    <s v="Jan"/>
    <n v="1"/>
    <s v="Sun"/>
    <d v="2026-06-30T13:21:00"/>
    <n v="11"/>
    <s v="Morning"/>
    <n v="2"/>
    <x v="1"/>
    <x v="1"/>
    <n v="54"/>
    <x v="1"/>
    <x v="1"/>
    <s v="Morning Sunrise Chai Rg"/>
    <s v="2.5"/>
    <x v="17"/>
    <s v="Weekend"/>
  </r>
  <r>
    <x v="120"/>
    <d v="2023-01-01T00:00:00"/>
    <n v="2023"/>
    <n v="1"/>
    <s v="Jan"/>
    <n v="1"/>
    <s v="Sun"/>
    <d v="2026-06-30T13:21:04"/>
    <n v="11"/>
    <s v="Morning"/>
    <n v="2"/>
    <x v="0"/>
    <x v="0"/>
    <n v="51"/>
    <x v="1"/>
    <x v="6"/>
    <s v="Earl Grey Lg"/>
    <s v="3"/>
    <x v="0"/>
    <s v="Weekend"/>
  </r>
  <r>
    <x v="121"/>
    <d v="2023-01-01T00:00:00"/>
    <n v="2023"/>
    <n v="1"/>
    <s v="Jan"/>
    <n v="1"/>
    <s v="Sun"/>
    <d v="2026-06-30T13:21:14"/>
    <n v="11"/>
    <s v="Morning"/>
    <n v="1"/>
    <x v="2"/>
    <x v="2"/>
    <n v="60"/>
    <x v="2"/>
    <x v="2"/>
    <s v="Sustainably Grown Organic Rg"/>
    <s v="3.75"/>
    <x v="10"/>
    <s v="Weekend"/>
  </r>
  <r>
    <x v="122"/>
    <d v="2023-01-01T00:00:00"/>
    <n v="2023"/>
    <n v="1"/>
    <s v="Jan"/>
    <n v="1"/>
    <s v="Sun"/>
    <d v="2026-06-30T13:23:01"/>
    <n v="11"/>
    <s v="Morning"/>
    <n v="1"/>
    <x v="1"/>
    <x v="1"/>
    <n v="31"/>
    <x v="0"/>
    <x v="0"/>
    <s v="Ethiopia Sm"/>
    <s v="2.2"/>
    <x v="23"/>
    <s v="Weekend"/>
  </r>
  <r>
    <x v="123"/>
    <d v="2023-01-01T00:00:00"/>
    <n v="2023"/>
    <n v="1"/>
    <s v="Jan"/>
    <n v="1"/>
    <s v="Sun"/>
    <d v="2026-06-30T13:23:43"/>
    <n v="11"/>
    <s v="Morning"/>
    <n v="2"/>
    <x v="0"/>
    <x v="0"/>
    <n v="60"/>
    <x v="2"/>
    <x v="2"/>
    <s v="Sustainably Grown Organic Rg"/>
    <s v="3.75"/>
    <x v="16"/>
    <s v="Weekend"/>
  </r>
  <r>
    <x v="124"/>
    <d v="2023-01-01T00:00:00"/>
    <n v="2023"/>
    <n v="1"/>
    <s v="Jan"/>
    <n v="1"/>
    <s v="Sun"/>
    <d v="2026-06-30T13:23:43"/>
    <n v="11"/>
    <s v="Morning"/>
    <n v="1"/>
    <x v="0"/>
    <x v="0"/>
    <n v="77"/>
    <x v="3"/>
    <x v="4"/>
    <s v="Oatmeal Scone"/>
    <s v="3"/>
    <x v="4"/>
    <s v="Weekend"/>
  </r>
  <r>
    <x v="125"/>
    <d v="2023-01-01T00:00:00"/>
    <n v="2023"/>
    <n v="1"/>
    <s v="Jan"/>
    <n v="1"/>
    <s v="Sun"/>
    <d v="2026-06-30T13:25:35"/>
    <n v="11"/>
    <s v="Morning"/>
    <n v="2"/>
    <x v="2"/>
    <x v="2"/>
    <n v="49"/>
    <x v="1"/>
    <x v="6"/>
    <s v="English Breakfast Lg"/>
    <s v="3"/>
    <x v="0"/>
    <s v="Weekend"/>
  </r>
  <r>
    <x v="126"/>
    <d v="2023-01-01T00:00:00"/>
    <n v="2023"/>
    <n v="1"/>
    <s v="Jan"/>
    <n v="1"/>
    <s v="Sun"/>
    <d v="2026-06-30T13:25:37"/>
    <n v="11"/>
    <s v="Morning"/>
    <n v="2"/>
    <x v="0"/>
    <x v="0"/>
    <n v="40"/>
    <x v="0"/>
    <x v="5"/>
    <s v="Cappuccino"/>
    <s v="3.75"/>
    <x v="16"/>
    <s v="Weekend"/>
  </r>
  <r>
    <x v="127"/>
    <d v="2023-01-01T00:00:00"/>
    <n v="2023"/>
    <n v="1"/>
    <s v="Jan"/>
    <n v="1"/>
    <s v="Sun"/>
    <d v="2026-06-30T13:28:15"/>
    <n v="11"/>
    <s v="Morning"/>
    <n v="2"/>
    <x v="1"/>
    <x v="1"/>
    <n v="44"/>
    <x v="1"/>
    <x v="8"/>
    <s v="Peppermint Rg"/>
    <s v="2.5"/>
    <x v="17"/>
    <s v="Weekend"/>
  </r>
  <r>
    <x v="128"/>
    <d v="2023-01-01T00:00:00"/>
    <n v="2023"/>
    <n v="1"/>
    <s v="Jan"/>
    <n v="1"/>
    <s v="Sun"/>
    <d v="2026-06-30T13:28:29"/>
    <n v="11"/>
    <s v="Morning"/>
    <n v="2"/>
    <x v="2"/>
    <x v="2"/>
    <n v="33"/>
    <x v="0"/>
    <x v="0"/>
    <s v="Ethiopia Lg"/>
    <s v="3.5"/>
    <x v="7"/>
    <s v="Weekend"/>
  </r>
  <r>
    <x v="129"/>
    <d v="2023-01-01T00:00:00"/>
    <n v="2023"/>
    <n v="1"/>
    <s v="Jan"/>
    <n v="1"/>
    <s v="Sun"/>
    <d v="2026-06-30T13:29:25"/>
    <n v="11"/>
    <s v="Morning"/>
    <n v="2"/>
    <x v="0"/>
    <x v="0"/>
    <n v="56"/>
    <x v="1"/>
    <x v="1"/>
    <s v="Spicy Eye Opener Chai Rg"/>
    <s v="2.55"/>
    <x v="13"/>
    <s v="Weekend"/>
  </r>
  <r>
    <x v="130"/>
    <d v="2023-01-01T00:00:00"/>
    <n v="2023"/>
    <n v="1"/>
    <s v="Jan"/>
    <n v="1"/>
    <s v="Sun"/>
    <d v="2026-06-30T13:29:57"/>
    <n v="11"/>
    <s v="Morning"/>
    <n v="2"/>
    <x v="1"/>
    <x v="1"/>
    <n v="35"/>
    <x v="0"/>
    <x v="12"/>
    <s v="Jamaican Coffee River Rg"/>
    <s v="3.1"/>
    <x v="1"/>
    <s v="Weekend"/>
  </r>
  <r>
    <x v="131"/>
    <d v="2023-01-01T00:00:00"/>
    <n v="2023"/>
    <n v="1"/>
    <s v="Jan"/>
    <n v="1"/>
    <s v="Sun"/>
    <d v="2026-06-30T13:29:57"/>
    <n v="11"/>
    <s v="Morning"/>
    <n v="1"/>
    <x v="1"/>
    <x v="1"/>
    <n v="78"/>
    <x v="3"/>
    <x v="4"/>
    <s v="Scottish Cream Scone "/>
    <s v="4.5"/>
    <x v="18"/>
    <s v="Weekend"/>
  </r>
  <r>
    <x v="132"/>
    <d v="2023-01-01T00:00:00"/>
    <n v="2023"/>
    <n v="1"/>
    <s v="Jan"/>
    <n v="1"/>
    <s v="Sun"/>
    <d v="2026-06-30T13:30:22"/>
    <n v="11"/>
    <s v="Morning"/>
    <n v="1"/>
    <x v="1"/>
    <x v="1"/>
    <n v="23"/>
    <x v="0"/>
    <x v="3"/>
    <s v="Our Old Time Diner Blend Rg"/>
    <s v="2.5"/>
    <x v="11"/>
    <s v="Weekend"/>
  </r>
  <r>
    <x v="133"/>
    <d v="2023-01-01T00:00:00"/>
    <n v="2023"/>
    <n v="1"/>
    <s v="Jan"/>
    <n v="1"/>
    <s v="Sun"/>
    <d v="2026-06-30T13:31:35"/>
    <n v="11"/>
    <s v="Morning"/>
    <n v="1"/>
    <x v="1"/>
    <x v="1"/>
    <n v="24"/>
    <x v="0"/>
    <x v="3"/>
    <s v="Our Old Time Diner Blend Lg"/>
    <s v="3"/>
    <x v="4"/>
    <s v="Weekend"/>
  </r>
  <r>
    <x v="134"/>
    <d v="2023-01-01T00:00:00"/>
    <n v="2023"/>
    <n v="1"/>
    <s v="Jan"/>
    <n v="1"/>
    <s v="Sun"/>
    <d v="2026-06-30T13:31:43"/>
    <n v="11"/>
    <s v="Morning"/>
    <n v="2"/>
    <x v="0"/>
    <x v="0"/>
    <n v="51"/>
    <x v="1"/>
    <x v="6"/>
    <s v="Earl Grey Lg"/>
    <s v="3"/>
    <x v="0"/>
    <s v="Weekend"/>
  </r>
  <r>
    <x v="135"/>
    <d v="2023-01-01T00:00:00"/>
    <n v="2023"/>
    <n v="1"/>
    <s v="Jan"/>
    <n v="1"/>
    <s v="Sun"/>
    <d v="2026-06-30T13:31:43"/>
    <n v="11"/>
    <s v="Morning"/>
    <n v="1"/>
    <x v="0"/>
    <x v="0"/>
    <n v="72"/>
    <x v="3"/>
    <x v="4"/>
    <s v="Ginger Scone"/>
    <s v="3.25"/>
    <x v="14"/>
    <s v="Weekend"/>
  </r>
  <r>
    <x v="136"/>
    <d v="2023-01-01T00:00:00"/>
    <n v="2023"/>
    <n v="1"/>
    <s v="Jan"/>
    <n v="1"/>
    <s v="Sun"/>
    <d v="2026-06-30T13:31:53"/>
    <n v="11"/>
    <s v="Morning"/>
    <n v="2"/>
    <x v="0"/>
    <x v="0"/>
    <n v="54"/>
    <x v="1"/>
    <x v="1"/>
    <s v="Morning Sunrise Chai Rg"/>
    <s v="2.5"/>
    <x v="17"/>
    <s v="Weekend"/>
  </r>
  <r>
    <x v="137"/>
    <d v="2023-01-01T00:00:00"/>
    <n v="2023"/>
    <n v="1"/>
    <s v="Jan"/>
    <n v="1"/>
    <s v="Sun"/>
    <d v="2026-06-30T13:31:53"/>
    <n v="11"/>
    <s v="Morning"/>
    <n v="1"/>
    <x v="0"/>
    <x v="0"/>
    <n v="75"/>
    <x v="3"/>
    <x v="10"/>
    <s v="Croissant"/>
    <s v="3.5"/>
    <x v="15"/>
    <s v="Weekend"/>
  </r>
  <r>
    <x v="138"/>
    <d v="2023-01-01T00:00:00"/>
    <n v="2023"/>
    <n v="1"/>
    <s v="Jan"/>
    <n v="1"/>
    <s v="Sun"/>
    <d v="2026-06-30T13:39:14"/>
    <n v="11"/>
    <s v="Morning"/>
    <n v="1"/>
    <x v="0"/>
    <x v="0"/>
    <n v="60"/>
    <x v="2"/>
    <x v="2"/>
    <s v="Sustainably Grown Organic Rg"/>
    <s v="3.75"/>
    <x v="10"/>
    <s v="Weekend"/>
  </r>
  <r>
    <x v="139"/>
    <d v="2023-01-01T00:00:00"/>
    <n v="2023"/>
    <n v="1"/>
    <s v="Jan"/>
    <n v="1"/>
    <s v="Sun"/>
    <d v="2026-06-30T13:39:14"/>
    <n v="11"/>
    <s v="Morning"/>
    <n v="1"/>
    <x v="0"/>
    <x v="0"/>
    <n v="71"/>
    <x v="3"/>
    <x v="10"/>
    <s v="Chocolate Croissant"/>
    <s v="3.75"/>
    <x v="10"/>
    <s v="Weekend"/>
  </r>
  <r>
    <x v="140"/>
    <d v="2023-01-01T00:00:00"/>
    <n v="2023"/>
    <n v="1"/>
    <s v="Jan"/>
    <n v="1"/>
    <s v="Sun"/>
    <d v="2026-06-30T13:40:26"/>
    <n v="11"/>
    <s v="Morning"/>
    <n v="2"/>
    <x v="2"/>
    <x v="2"/>
    <n v="52"/>
    <x v="1"/>
    <x v="1"/>
    <s v="Traditional Blend Chai Rg"/>
    <s v="2.5"/>
    <x v="17"/>
    <s v="Weekend"/>
  </r>
  <r>
    <x v="141"/>
    <d v="2023-01-01T00:00:00"/>
    <n v="2023"/>
    <n v="1"/>
    <s v="Jan"/>
    <n v="1"/>
    <s v="Sun"/>
    <d v="2026-06-30T13:43:57"/>
    <n v="11"/>
    <s v="Morning"/>
    <n v="2"/>
    <x v="2"/>
    <x v="2"/>
    <n v="25"/>
    <x v="0"/>
    <x v="11"/>
    <s v="Brazilian Sm"/>
    <s v="2.2"/>
    <x v="19"/>
    <s v="Weekend"/>
  </r>
  <r>
    <x v="142"/>
    <d v="2023-01-01T00:00:00"/>
    <n v="2023"/>
    <n v="1"/>
    <s v="Jan"/>
    <n v="1"/>
    <s v="Sun"/>
    <d v="2026-06-30T13:44:09"/>
    <n v="11"/>
    <s v="Morning"/>
    <n v="1"/>
    <x v="0"/>
    <x v="0"/>
    <n v="38"/>
    <x v="0"/>
    <x v="5"/>
    <s v="Latte"/>
    <s v="3.75"/>
    <x v="10"/>
    <s v="Weekend"/>
  </r>
  <r>
    <x v="143"/>
    <d v="2023-01-01T00:00:00"/>
    <n v="2023"/>
    <n v="1"/>
    <s v="Jan"/>
    <n v="1"/>
    <s v="Sun"/>
    <d v="2026-06-30T13:47:13"/>
    <n v="11"/>
    <s v="Morning"/>
    <n v="1"/>
    <x v="2"/>
    <x v="2"/>
    <n v="30"/>
    <x v="0"/>
    <x v="0"/>
    <s v="Columbian Medium Roast Lg"/>
    <s v="3"/>
    <x v="4"/>
    <s v="Weekend"/>
  </r>
  <r>
    <x v="144"/>
    <d v="2023-01-01T00:00:00"/>
    <n v="2023"/>
    <n v="1"/>
    <s v="Jan"/>
    <n v="1"/>
    <s v="Sun"/>
    <d v="2026-06-30T13:48:56"/>
    <n v="11"/>
    <s v="Morning"/>
    <n v="2"/>
    <x v="1"/>
    <x v="1"/>
    <n v="50"/>
    <x v="1"/>
    <x v="6"/>
    <s v="Earl Grey Rg"/>
    <s v="2.5"/>
    <x v="17"/>
    <s v="Weekend"/>
  </r>
  <r>
    <x v="145"/>
    <d v="2023-01-01T00:00:00"/>
    <n v="2023"/>
    <n v="1"/>
    <s v="Jan"/>
    <n v="1"/>
    <s v="Sun"/>
    <d v="2026-06-30T13:49:42"/>
    <n v="11"/>
    <s v="Morning"/>
    <n v="1"/>
    <x v="1"/>
    <x v="1"/>
    <n v="54"/>
    <x v="1"/>
    <x v="1"/>
    <s v="Morning Sunrise Chai Rg"/>
    <s v="2.5"/>
    <x v="11"/>
    <s v="Weekend"/>
  </r>
  <r>
    <x v="146"/>
    <d v="2023-01-01T00:00:00"/>
    <n v="2023"/>
    <n v="1"/>
    <s v="Jan"/>
    <n v="1"/>
    <s v="Sun"/>
    <d v="2026-06-30T13:49:42"/>
    <n v="11"/>
    <s v="Morning"/>
    <n v="1"/>
    <x v="1"/>
    <x v="1"/>
    <n v="72"/>
    <x v="3"/>
    <x v="4"/>
    <s v="Ginger Scone"/>
    <s v="3.25"/>
    <x v="14"/>
    <s v="Weekend"/>
  </r>
  <r>
    <x v="147"/>
    <d v="2023-01-01T00:00:00"/>
    <n v="2023"/>
    <n v="1"/>
    <s v="Jan"/>
    <n v="1"/>
    <s v="Sun"/>
    <d v="2026-06-30T13:50:16"/>
    <n v="11"/>
    <s v="Morning"/>
    <n v="2"/>
    <x v="2"/>
    <x v="2"/>
    <n v="26"/>
    <x v="0"/>
    <x v="11"/>
    <s v="Brazilian Rg"/>
    <s v="3"/>
    <x v="0"/>
    <s v="Weekend"/>
  </r>
  <r>
    <x v="148"/>
    <d v="2023-01-01T00:00:00"/>
    <n v="2023"/>
    <n v="1"/>
    <s v="Jan"/>
    <n v="1"/>
    <s v="Sun"/>
    <d v="2026-06-30T13:50:23"/>
    <n v="11"/>
    <s v="Morning"/>
    <n v="2"/>
    <x v="2"/>
    <x v="2"/>
    <n v="36"/>
    <x v="0"/>
    <x v="12"/>
    <s v="Jamaican Coffee River Lg"/>
    <s v="3.75"/>
    <x v="16"/>
    <s v="Weekend"/>
  </r>
  <r>
    <x v="149"/>
    <d v="2023-01-01T00:00:00"/>
    <n v="2023"/>
    <n v="1"/>
    <s v="Jan"/>
    <n v="1"/>
    <s v="Sun"/>
    <d v="2026-06-30T13:50:58"/>
    <n v="11"/>
    <s v="Morning"/>
    <n v="2"/>
    <x v="0"/>
    <x v="0"/>
    <n v="45"/>
    <x v="1"/>
    <x v="8"/>
    <s v="Peppermint Lg"/>
    <s v="3"/>
    <x v="0"/>
    <s v="Weekend"/>
  </r>
  <r>
    <x v="150"/>
    <d v="2023-01-01T00:00:00"/>
    <n v="2023"/>
    <n v="1"/>
    <s v="Jan"/>
    <n v="1"/>
    <s v="Sun"/>
    <d v="2026-06-30T13:51:30"/>
    <n v="11"/>
    <s v="Morning"/>
    <n v="2"/>
    <x v="1"/>
    <x v="1"/>
    <n v="33"/>
    <x v="0"/>
    <x v="0"/>
    <s v="Ethiopia Lg"/>
    <s v="3.5"/>
    <x v="7"/>
    <s v="Weekend"/>
  </r>
  <r>
    <x v="151"/>
    <d v="2023-01-01T00:00:00"/>
    <n v="2023"/>
    <n v="1"/>
    <s v="Jan"/>
    <n v="1"/>
    <s v="Sun"/>
    <d v="2026-06-30T13:52:31"/>
    <n v="11"/>
    <s v="Morning"/>
    <n v="1"/>
    <x v="0"/>
    <x v="0"/>
    <n v="57"/>
    <x v="1"/>
    <x v="1"/>
    <s v="Spicy Eye Opener Chai Lg"/>
    <s v="3.1"/>
    <x v="9"/>
    <s v="Weekend"/>
  </r>
  <r>
    <x v="152"/>
    <d v="2023-01-01T00:00:00"/>
    <n v="2023"/>
    <n v="1"/>
    <s v="Jan"/>
    <n v="1"/>
    <s v="Sun"/>
    <d v="2026-06-30T13:57:17"/>
    <n v="11"/>
    <s v="Morning"/>
    <n v="2"/>
    <x v="2"/>
    <x v="2"/>
    <n v="37"/>
    <x v="0"/>
    <x v="5"/>
    <s v="Espresso shot"/>
    <s v="3"/>
    <x v="0"/>
    <s v="Weekend"/>
  </r>
  <r>
    <x v="153"/>
    <d v="2023-01-01T00:00:00"/>
    <n v="2023"/>
    <n v="1"/>
    <s v="Jan"/>
    <n v="1"/>
    <s v="Sun"/>
    <d v="2026-06-30T13:57:59"/>
    <n v="11"/>
    <s v="Morning"/>
    <n v="1"/>
    <x v="2"/>
    <x v="2"/>
    <n v="50"/>
    <x v="1"/>
    <x v="6"/>
    <s v="Earl Grey Rg"/>
    <s v="2.5"/>
    <x v="11"/>
    <s v="Weekend"/>
  </r>
  <r>
    <x v="154"/>
    <d v="2023-01-01T00:00:00"/>
    <n v="2023"/>
    <n v="1"/>
    <s v="Jan"/>
    <n v="1"/>
    <s v="Sun"/>
    <d v="2026-06-30T13:57:59"/>
    <n v="11"/>
    <s v="Morning"/>
    <n v="1"/>
    <x v="2"/>
    <x v="2"/>
    <n v="79"/>
    <x v="3"/>
    <x v="4"/>
    <s v="Jumbo Savory Scone"/>
    <s v="3.75"/>
    <x v="10"/>
    <s v="Weekend"/>
  </r>
  <r>
    <x v="155"/>
    <d v="2023-01-01T00:00:00"/>
    <n v="2023"/>
    <n v="1"/>
    <s v="Jan"/>
    <n v="1"/>
    <s v="Sun"/>
    <d v="2026-06-30T13:58:15"/>
    <n v="11"/>
    <s v="Morning"/>
    <n v="2"/>
    <x v="2"/>
    <x v="2"/>
    <n v="60"/>
    <x v="2"/>
    <x v="2"/>
    <s v="Sustainably Grown Organic Rg"/>
    <s v="3.75"/>
    <x v="16"/>
    <s v="Weekend"/>
  </r>
  <r>
    <x v="156"/>
    <d v="2023-01-01T00:00:00"/>
    <n v="2023"/>
    <n v="1"/>
    <s v="Jan"/>
    <n v="1"/>
    <s v="Sun"/>
    <d v="2026-06-30T14:00:20"/>
    <n v="12"/>
    <s v="Afternoon"/>
    <n v="1"/>
    <x v="0"/>
    <x v="0"/>
    <n v="29"/>
    <x v="0"/>
    <x v="0"/>
    <s v="Columbian Medium Roast Rg"/>
    <s v="2.5"/>
    <x v="11"/>
    <s v="Weekend"/>
  </r>
  <r>
    <x v="157"/>
    <d v="2023-01-01T00:00:00"/>
    <n v="2023"/>
    <n v="1"/>
    <s v="Jan"/>
    <n v="1"/>
    <s v="Sun"/>
    <d v="2026-06-30T14:01:00"/>
    <n v="12"/>
    <s v="Afternoon"/>
    <n v="2"/>
    <x v="2"/>
    <x v="2"/>
    <n v="49"/>
    <x v="1"/>
    <x v="6"/>
    <s v="English Breakfast Lg"/>
    <s v="3"/>
    <x v="0"/>
    <s v="Weekend"/>
  </r>
  <r>
    <x v="158"/>
    <d v="2023-01-01T00:00:00"/>
    <n v="2023"/>
    <n v="1"/>
    <s v="Jan"/>
    <n v="1"/>
    <s v="Sun"/>
    <d v="2026-06-30T14:01:20"/>
    <n v="12"/>
    <s v="Afternoon"/>
    <n v="2"/>
    <x v="2"/>
    <x v="2"/>
    <n v="35"/>
    <x v="0"/>
    <x v="12"/>
    <s v="Jamaican Coffee River Rg"/>
    <s v="3.1"/>
    <x v="1"/>
    <s v="Weekend"/>
  </r>
  <r>
    <x v="159"/>
    <d v="2023-01-01T00:00:00"/>
    <n v="2023"/>
    <n v="1"/>
    <s v="Jan"/>
    <n v="1"/>
    <s v="Sun"/>
    <d v="2026-06-30T14:01:20"/>
    <n v="12"/>
    <s v="Afternoon"/>
    <n v="1"/>
    <x v="2"/>
    <x v="2"/>
    <n v="75"/>
    <x v="3"/>
    <x v="10"/>
    <s v="Croissant"/>
    <s v="3.5"/>
    <x v="15"/>
    <s v="Weekend"/>
  </r>
  <r>
    <x v="160"/>
    <d v="2023-01-01T00:00:00"/>
    <n v="2023"/>
    <n v="1"/>
    <s v="Jan"/>
    <n v="1"/>
    <s v="Sun"/>
    <d v="2026-06-30T14:03:09"/>
    <n v="12"/>
    <s v="Afternoon"/>
    <n v="1"/>
    <x v="1"/>
    <x v="1"/>
    <n v="36"/>
    <x v="0"/>
    <x v="12"/>
    <s v="Jamaican Coffee River Lg"/>
    <s v="3.75"/>
    <x v="10"/>
    <s v="Weekend"/>
  </r>
  <r>
    <x v="161"/>
    <d v="2023-01-01T00:00:00"/>
    <n v="2023"/>
    <n v="1"/>
    <s v="Jan"/>
    <n v="1"/>
    <s v="Sun"/>
    <d v="2026-06-30T14:03:38"/>
    <n v="12"/>
    <s v="Afternoon"/>
    <n v="1"/>
    <x v="1"/>
    <x v="1"/>
    <n v="47"/>
    <x v="1"/>
    <x v="7"/>
    <s v="Serenity Green Tea Lg"/>
    <s v="3"/>
    <x v="4"/>
    <s v="Weekend"/>
  </r>
  <r>
    <x v="162"/>
    <d v="2023-01-01T00:00:00"/>
    <n v="2023"/>
    <n v="1"/>
    <s v="Jan"/>
    <n v="1"/>
    <s v="Sun"/>
    <d v="2026-06-30T14:03:43"/>
    <n v="12"/>
    <s v="Afternoon"/>
    <n v="1"/>
    <x v="2"/>
    <x v="2"/>
    <n v="44"/>
    <x v="1"/>
    <x v="8"/>
    <s v="Peppermint Rg"/>
    <s v="2.5"/>
    <x v="11"/>
    <s v="Weekend"/>
  </r>
  <r>
    <x v="163"/>
    <d v="2023-01-01T00:00:00"/>
    <n v="2023"/>
    <n v="1"/>
    <s v="Jan"/>
    <n v="1"/>
    <s v="Sun"/>
    <d v="2026-06-30T14:04:22"/>
    <n v="12"/>
    <s v="Afternoon"/>
    <n v="2"/>
    <x v="1"/>
    <x v="1"/>
    <n v="27"/>
    <x v="0"/>
    <x v="11"/>
    <s v="Brazilian Lg"/>
    <s v="3.5"/>
    <x v="7"/>
    <s v="Weekend"/>
  </r>
  <r>
    <x v="164"/>
    <d v="2023-01-01T00:00:00"/>
    <n v="2023"/>
    <n v="1"/>
    <s v="Jan"/>
    <n v="1"/>
    <s v="Sun"/>
    <d v="2026-06-30T14:05:31"/>
    <n v="12"/>
    <s v="Afternoon"/>
    <n v="2"/>
    <x v="2"/>
    <x v="2"/>
    <n v="52"/>
    <x v="1"/>
    <x v="1"/>
    <s v="Traditional Blend Chai Rg"/>
    <s v="2.5"/>
    <x v="17"/>
    <s v="Weekend"/>
  </r>
  <r>
    <x v="165"/>
    <d v="2023-01-01T00:00:00"/>
    <n v="2023"/>
    <n v="1"/>
    <s v="Jan"/>
    <n v="1"/>
    <s v="Sun"/>
    <d v="2026-06-30T14:06:29"/>
    <n v="12"/>
    <s v="Afternoon"/>
    <n v="1"/>
    <x v="0"/>
    <x v="0"/>
    <n v="46"/>
    <x v="1"/>
    <x v="7"/>
    <s v="Serenity Green Tea Rg"/>
    <s v="2.5"/>
    <x v="11"/>
    <s v="Weekend"/>
  </r>
  <r>
    <x v="166"/>
    <d v="2023-01-01T00:00:00"/>
    <n v="2023"/>
    <n v="1"/>
    <s v="Jan"/>
    <n v="1"/>
    <s v="Sun"/>
    <d v="2026-06-30T14:07:42"/>
    <n v="12"/>
    <s v="Afternoon"/>
    <n v="1"/>
    <x v="1"/>
    <x v="1"/>
    <n v="24"/>
    <x v="0"/>
    <x v="3"/>
    <s v="Our Old Time Diner Blend Lg"/>
    <s v="3"/>
    <x v="4"/>
    <s v="Weekend"/>
  </r>
  <r>
    <x v="167"/>
    <d v="2023-01-01T00:00:00"/>
    <n v="2023"/>
    <n v="1"/>
    <s v="Jan"/>
    <n v="1"/>
    <s v="Sun"/>
    <d v="2026-06-30T14:08:21"/>
    <n v="12"/>
    <s v="Afternoon"/>
    <n v="1"/>
    <x v="0"/>
    <x v="0"/>
    <n v="43"/>
    <x v="1"/>
    <x v="8"/>
    <s v="Lemon Grass Lg"/>
    <s v="3"/>
    <x v="4"/>
    <s v="Weekend"/>
  </r>
  <r>
    <x v="168"/>
    <d v="2023-01-01T00:00:00"/>
    <n v="2023"/>
    <n v="1"/>
    <s v="Jan"/>
    <n v="1"/>
    <s v="Sun"/>
    <d v="2026-06-30T14:08:36"/>
    <n v="12"/>
    <s v="Afternoon"/>
    <n v="1"/>
    <x v="1"/>
    <x v="1"/>
    <n v="35"/>
    <x v="0"/>
    <x v="12"/>
    <s v="Jamaican Coffee River Rg"/>
    <s v="3.1"/>
    <x v="9"/>
    <s v="Weekend"/>
  </r>
  <r>
    <x v="169"/>
    <d v="2023-01-01T00:00:00"/>
    <n v="2023"/>
    <n v="1"/>
    <s v="Jan"/>
    <n v="1"/>
    <s v="Sun"/>
    <d v="2026-06-30T14:09:11"/>
    <n v="12"/>
    <s v="Afternoon"/>
    <n v="2"/>
    <x v="2"/>
    <x v="2"/>
    <n v="28"/>
    <x v="0"/>
    <x v="0"/>
    <s v="Columbian Medium Roast Sm"/>
    <s v="2"/>
    <x v="5"/>
    <s v="Weekend"/>
  </r>
  <r>
    <x v="170"/>
    <d v="2023-01-01T00:00:00"/>
    <n v="2023"/>
    <n v="1"/>
    <s v="Jan"/>
    <n v="1"/>
    <s v="Sun"/>
    <d v="2026-06-30T14:09:12"/>
    <n v="12"/>
    <s v="Afternoon"/>
    <n v="2"/>
    <x v="1"/>
    <x v="1"/>
    <n v="50"/>
    <x v="1"/>
    <x v="6"/>
    <s v="Earl Grey Rg"/>
    <s v="2.5"/>
    <x v="17"/>
    <s v="Weekend"/>
  </r>
  <r>
    <x v="171"/>
    <d v="2023-01-01T00:00:00"/>
    <n v="2023"/>
    <n v="1"/>
    <s v="Jan"/>
    <n v="1"/>
    <s v="Sun"/>
    <d v="2026-06-30T14:13:07"/>
    <n v="12"/>
    <s v="Afternoon"/>
    <n v="2"/>
    <x v="0"/>
    <x v="0"/>
    <n v="38"/>
    <x v="0"/>
    <x v="5"/>
    <s v="Latte"/>
    <s v="3.75"/>
    <x v="16"/>
    <s v="Weekend"/>
  </r>
  <r>
    <x v="172"/>
    <d v="2023-01-01T00:00:00"/>
    <n v="2023"/>
    <n v="1"/>
    <s v="Jan"/>
    <n v="1"/>
    <s v="Sun"/>
    <d v="2026-06-30T14:14:26"/>
    <n v="12"/>
    <s v="Afternoon"/>
    <n v="2"/>
    <x v="1"/>
    <x v="1"/>
    <n v="35"/>
    <x v="0"/>
    <x v="12"/>
    <s v="Jamaican Coffee River Rg"/>
    <s v="3.1"/>
    <x v="1"/>
    <s v="Weekend"/>
  </r>
  <r>
    <x v="173"/>
    <d v="2023-01-01T00:00:00"/>
    <n v="2023"/>
    <n v="1"/>
    <s v="Jan"/>
    <n v="1"/>
    <s v="Sun"/>
    <d v="2026-06-30T14:17:38"/>
    <n v="12"/>
    <s v="Afternoon"/>
    <n v="2"/>
    <x v="1"/>
    <x v="1"/>
    <n v="50"/>
    <x v="1"/>
    <x v="6"/>
    <s v="Earl Grey Rg"/>
    <s v="2.5"/>
    <x v="17"/>
    <s v="Weekend"/>
  </r>
  <r>
    <x v="174"/>
    <d v="2023-01-01T00:00:00"/>
    <n v="2023"/>
    <n v="1"/>
    <s v="Jan"/>
    <n v="1"/>
    <s v="Sun"/>
    <d v="2026-06-30T14:18:07"/>
    <n v="12"/>
    <s v="Afternoon"/>
    <n v="2"/>
    <x v="0"/>
    <x v="0"/>
    <n v="25"/>
    <x v="0"/>
    <x v="11"/>
    <s v="Brazilian Sm"/>
    <s v="2.2"/>
    <x v="19"/>
    <s v="Weekend"/>
  </r>
  <r>
    <x v="175"/>
    <d v="2023-01-01T00:00:00"/>
    <n v="2023"/>
    <n v="1"/>
    <s v="Jan"/>
    <n v="1"/>
    <s v="Sun"/>
    <d v="2026-06-30T14:18:44"/>
    <n v="12"/>
    <s v="Afternoon"/>
    <n v="2"/>
    <x v="2"/>
    <x v="2"/>
    <n v="49"/>
    <x v="1"/>
    <x v="6"/>
    <s v="English Breakfast Lg"/>
    <s v="3"/>
    <x v="0"/>
    <s v="Weekend"/>
  </r>
  <r>
    <x v="176"/>
    <d v="2023-01-01T00:00:00"/>
    <n v="2023"/>
    <n v="1"/>
    <s v="Jan"/>
    <n v="1"/>
    <s v="Sun"/>
    <d v="2026-06-30T14:20:16"/>
    <n v="12"/>
    <s v="Afternoon"/>
    <n v="2"/>
    <x v="2"/>
    <x v="2"/>
    <n v="60"/>
    <x v="2"/>
    <x v="2"/>
    <s v="Sustainably Grown Organic Rg"/>
    <s v="3.75"/>
    <x v="16"/>
    <s v="Weekend"/>
  </r>
  <r>
    <x v="177"/>
    <d v="2023-01-01T00:00:00"/>
    <n v="2023"/>
    <n v="1"/>
    <s v="Jan"/>
    <n v="1"/>
    <s v="Sun"/>
    <d v="2026-06-30T14:23:39"/>
    <n v="12"/>
    <s v="Afternoon"/>
    <n v="1"/>
    <x v="2"/>
    <x v="2"/>
    <n v="24"/>
    <x v="0"/>
    <x v="3"/>
    <s v="Our Old Time Diner Blend Lg"/>
    <s v="3"/>
    <x v="4"/>
    <s v="Weekend"/>
  </r>
  <r>
    <x v="178"/>
    <d v="2023-01-01T00:00:00"/>
    <n v="2023"/>
    <n v="1"/>
    <s v="Jan"/>
    <n v="1"/>
    <s v="Sun"/>
    <d v="2026-06-30T14:27:06"/>
    <n v="12"/>
    <s v="Afternoon"/>
    <n v="2"/>
    <x v="0"/>
    <x v="0"/>
    <n v="41"/>
    <x v="0"/>
    <x v="5"/>
    <s v="Cappuccino Lg"/>
    <s v="4.25"/>
    <x v="21"/>
    <s v="Weekend"/>
  </r>
  <r>
    <x v="179"/>
    <d v="2023-01-01T00:00:00"/>
    <n v="2023"/>
    <n v="1"/>
    <s v="Jan"/>
    <n v="1"/>
    <s v="Sun"/>
    <d v="2026-06-30T14:30:46"/>
    <n v="12"/>
    <s v="Afternoon"/>
    <n v="2"/>
    <x v="2"/>
    <x v="2"/>
    <n v="44"/>
    <x v="1"/>
    <x v="8"/>
    <s v="Peppermint Rg"/>
    <s v="2.5"/>
    <x v="17"/>
    <s v="Weekend"/>
  </r>
  <r>
    <x v="180"/>
    <d v="2023-01-01T00:00:00"/>
    <n v="2023"/>
    <n v="1"/>
    <s v="Jan"/>
    <n v="1"/>
    <s v="Sun"/>
    <d v="2026-06-30T14:30:49"/>
    <n v="12"/>
    <s v="Afternoon"/>
    <n v="1"/>
    <x v="1"/>
    <x v="1"/>
    <n v="38"/>
    <x v="0"/>
    <x v="5"/>
    <s v="Latte"/>
    <s v="3.75"/>
    <x v="10"/>
    <s v="Weekend"/>
  </r>
  <r>
    <x v="181"/>
    <d v="2023-01-01T00:00:00"/>
    <n v="2023"/>
    <n v="1"/>
    <s v="Jan"/>
    <n v="1"/>
    <s v="Sun"/>
    <d v="2026-06-30T14:33:20"/>
    <n v="12"/>
    <s v="Afternoon"/>
    <n v="2"/>
    <x v="2"/>
    <x v="2"/>
    <n v="54"/>
    <x v="1"/>
    <x v="1"/>
    <s v="Morning Sunrise Chai Rg"/>
    <s v="2.5"/>
    <x v="17"/>
    <s v="Weekend"/>
  </r>
  <r>
    <x v="182"/>
    <d v="2023-01-01T00:00:00"/>
    <n v="2023"/>
    <n v="1"/>
    <s v="Jan"/>
    <n v="1"/>
    <s v="Sun"/>
    <d v="2026-06-30T14:33:35"/>
    <n v="12"/>
    <s v="Afternoon"/>
    <n v="2"/>
    <x v="2"/>
    <x v="2"/>
    <n v="29"/>
    <x v="0"/>
    <x v="0"/>
    <s v="Columbian Medium Roast Rg"/>
    <s v="2.5"/>
    <x v="17"/>
    <s v="Weekend"/>
  </r>
  <r>
    <x v="183"/>
    <d v="2023-01-01T00:00:00"/>
    <n v="2023"/>
    <n v="1"/>
    <s v="Jan"/>
    <n v="1"/>
    <s v="Sun"/>
    <d v="2026-06-30T14:35:53"/>
    <n v="12"/>
    <s v="Afternoon"/>
    <n v="2"/>
    <x v="0"/>
    <x v="0"/>
    <n v="31"/>
    <x v="0"/>
    <x v="0"/>
    <s v="Ethiopia Sm"/>
    <s v="2.2"/>
    <x v="19"/>
    <s v="Weekend"/>
  </r>
  <r>
    <x v="184"/>
    <d v="2023-01-01T00:00:00"/>
    <n v="2023"/>
    <n v="1"/>
    <s v="Jan"/>
    <n v="1"/>
    <s v="Sun"/>
    <d v="2026-06-30T14:36:57"/>
    <n v="12"/>
    <s v="Afternoon"/>
    <n v="1"/>
    <x v="1"/>
    <x v="1"/>
    <n v="60"/>
    <x v="2"/>
    <x v="2"/>
    <s v="Sustainably Grown Organic Rg"/>
    <s v="3.75"/>
    <x v="10"/>
    <s v="Weekend"/>
  </r>
  <r>
    <x v="185"/>
    <d v="2023-01-01T00:00:00"/>
    <n v="2023"/>
    <n v="1"/>
    <s v="Jan"/>
    <n v="1"/>
    <s v="Sun"/>
    <d v="2026-06-30T14:38:28"/>
    <n v="12"/>
    <s v="Afternoon"/>
    <n v="2"/>
    <x v="1"/>
    <x v="1"/>
    <n v="49"/>
    <x v="1"/>
    <x v="6"/>
    <s v="English Breakfast Lg"/>
    <s v="3"/>
    <x v="0"/>
    <s v="Weekend"/>
  </r>
  <r>
    <x v="186"/>
    <d v="2023-01-01T00:00:00"/>
    <n v="2023"/>
    <n v="1"/>
    <s v="Jan"/>
    <n v="1"/>
    <s v="Sun"/>
    <d v="2026-06-30T14:42:26"/>
    <n v="12"/>
    <s v="Afternoon"/>
    <n v="1"/>
    <x v="2"/>
    <x v="2"/>
    <n v="53"/>
    <x v="1"/>
    <x v="1"/>
    <s v="Traditional Blend Chai Lg"/>
    <s v="3"/>
    <x v="4"/>
    <s v="Weekend"/>
  </r>
  <r>
    <x v="187"/>
    <d v="2023-01-01T00:00:00"/>
    <n v="2023"/>
    <n v="1"/>
    <s v="Jan"/>
    <n v="1"/>
    <s v="Sun"/>
    <d v="2026-06-30T14:44:01"/>
    <n v="12"/>
    <s v="Afternoon"/>
    <n v="1"/>
    <x v="1"/>
    <x v="1"/>
    <n v="60"/>
    <x v="2"/>
    <x v="2"/>
    <s v="Sustainably Grown Organic Rg"/>
    <s v="3.75"/>
    <x v="10"/>
    <s v="Weekend"/>
  </r>
  <r>
    <x v="188"/>
    <d v="2023-01-01T00:00:00"/>
    <n v="2023"/>
    <n v="1"/>
    <s v="Jan"/>
    <n v="1"/>
    <s v="Sun"/>
    <d v="2026-06-30T14:44:31"/>
    <n v="12"/>
    <s v="Afternoon"/>
    <n v="1"/>
    <x v="2"/>
    <x v="2"/>
    <n v="53"/>
    <x v="1"/>
    <x v="1"/>
    <s v="Traditional Blend Chai Lg"/>
    <s v="3"/>
    <x v="4"/>
    <s v="Weekend"/>
  </r>
  <r>
    <x v="189"/>
    <d v="2023-01-01T00:00:00"/>
    <n v="2023"/>
    <n v="1"/>
    <s v="Jan"/>
    <n v="1"/>
    <s v="Sun"/>
    <d v="2026-06-30T14:44:32"/>
    <n v="12"/>
    <s v="Afternoon"/>
    <n v="1"/>
    <x v="2"/>
    <x v="2"/>
    <n v="52"/>
    <x v="1"/>
    <x v="1"/>
    <s v="Traditional Blend Chai Rg"/>
    <s v="2.5"/>
    <x v="11"/>
    <s v="Weekend"/>
  </r>
  <r>
    <x v="190"/>
    <d v="2023-01-01T00:00:00"/>
    <n v="2023"/>
    <n v="1"/>
    <s v="Jan"/>
    <n v="1"/>
    <s v="Sun"/>
    <d v="2026-06-30T14:45:52"/>
    <n v="12"/>
    <s v="Afternoon"/>
    <n v="2"/>
    <x v="2"/>
    <x v="2"/>
    <n v="28"/>
    <x v="0"/>
    <x v="0"/>
    <s v="Columbian Medium Roast Sm"/>
    <s v="2"/>
    <x v="5"/>
    <s v="Weekend"/>
  </r>
  <r>
    <x v="191"/>
    <d v="2023-01-01T00:00:00"/>
    <n v="2023"/>
    <n v="1"/>
    <s v="Jan"/>
    <n v="1"/>
    <s v="Sun"/>
    <d v="2026-06-30T14:46:22"/>
    <n v="12"/>
    <s v="Afternoon"/>
    <n v="1"/>
    <x v="2"/>
    <x v="2"/>
    <n v="56"/>
    <x v="1"/>
    <x v="1"/>
    <s v="Spicy Eye Opener Chai Rg"/>
    <s v="2.55"/>
    <x v="8"/>
    <s v="Weekend"/>
  </r>
  <r>
    <x v="192"/>
    <d v="2023-01-01T00:00:00"/>
    <n v="2023"/>
    <n v="1"/>
    <s v="Jan"/>
    <n v="1"/>
    <s v="Sun"/>
    <d v="2026-06-30T14:46:26"/>
    <n v="12"/>
    <s v="Afternoon"/>
    <n v="1"/>
    <x v="2"/>
    <x v="2"/>
    <n v="23"/>
    <x v="0"/>
    <x v="3"/>
    <s v="Our Old Time Diner Blend Rg"/>
    <s v="2.5"/>
    <x v="11"/>
    <s v="Weekend"/>
  </r>
  <r>
    <x v="193"/>
    <d v="2023-01-01T00:00:00"/>
    <n v="2023"/>
    <n v="1"/>
    <s v="Jan"/>
    <n v="1"/>
    <s v="Sun"/>
    <d v="2026-06-30T14:46:55"/>
    <n v="12"/>
    <s v="Afternoon"/>
    <n v="1"/>
    <x v="2"/>
    <x v="2"/>
    <n v="33"/>
    <x v="0"/>
    <x v="0"/>
    <s v="Ethiopia Lg"/>
    <s v="3.5"/>
    <x v="15"/>
    <s v="Weekend"/>
  </r>
  <r>
    <x v="194"/>
    <d v="2023-01-01T00:00:00"/>
    <n v="2023"/>
    <n v="1"/>
    <s v="Jan"/>
    <n v="1"/>
    <s v="Sun"/>
    <d v="2026-06-30T14:46:55"/>
    <n v="12"/>
    <s v="Afternoon"/>
    <n v="1"/>
    <x v="2"/>
    <x v="2"/>
    <n v="75"/>
    <x v="3"/>
    <x v="10"/>
    <s v="Croissant"/>
    <s v="3.5"/>
    <x v="15"/>
    <s v="Weekend"/>
  </r>
  <r>
    <x v="195"/>
    <d v="2023-01-01T00:00:00"/>
    <n v="2023"/>
    <n v="1"/>
    <s v="Jan"/>
    <n v="1"/>
    <s v="Sun"/>
    <d v="2026-06-30T14:48:08"/>
    <n v="12"/>
    <s v="Afternoon"/>
    <n v="2"/>
    <x v="2"/>
    <x v="2"/>
    <n v="38"/>
    <x v="0"/>
    <x v="5"/>
    <s v="Latte"/>
    <s v="3.75"/>
    <x v="16"/>
    <s v="Weekend"/>
  </r>
  <r>
    <x v="196"/>
    <d v="2023-01-01T00:00:00"/>
    <n v="2023"/>
    <n v="1"/>
    <s v="Jan"/>
    <n v="1"/>
    <s v="Sun"/>
    <d v="2026-06-30T14:49:48"/>
    <n v="12"/>
    <s v="Afternoon"/>
    <n v="1"/>
    <x v="1"/>
    <x v="1"/>
    <n v="30"/>
    <x v="0"/>
    <x v="0"/>
    <s v="Columbian Medium Roast Lg"/>
    <s v="3"/>
    <x v="4"/>
    <s v="Weekend"/>
  </r>
  <r>
    <x v="197"/>
    <d v="2023-01-01T00:00:00"/>
    <n v="2023"/>
    <n v="1"/>
    <s v="Jan"/>
    <n v="1"/>
    <s v="Sun"/>
    <d v="2026-06-30T14:50:15"/>
    <n v="12"/>
    <s v="Afternoon"/>
    <n v="1"/>
    <x v="2"/>
    <x v="2"/>
    <n v="59"/>
    <x v="2"/>
    <x v="2"/>
    <s v="Dark chocolate Lg"/>
    <s v="4.5"/>
    <x v="18"/>
    <s v="Weekend"/>
  </r>
  <r>
    <x v="198"/>
    <d v="2023-01-01T00:00:00"/>
    <n v="2023"/>
    <n v="1"/>
    <s v="Jan"/>
    <n v="1"/>
    <s v="Sun"/>
    <d v="2026-06-30T14:50:28"/>
    <n v="12"/>
    <s v="Afternoon"/>
    <n v="2"/>
    <x v="2"/>
    <x v="2"/>
    <n v="32"/>
    <x v="0"/>
    <x v="0"/>
    <s v="Ethiopia Rg"/>
    <s v="3"/>
    <x v="0"/>
    <s v="Weekend"/>
  </r>
  <r>
    <x v="199"/>
    <d v="2023-01-01T00:00:00"/>
    <n v="2023"/>
    <n v="1"/>
    <s v="Jan"/>
    <n v="1"/>
    <s v="Sun"/>
    <d v="2026-06-30T14:51:21"/>
    <n v="12"/>
    <s v="Afternoon"/>
    <n v="1"/>
    <x v="1"/>
    <x v="1"/>
    <n v="53"/>
    <x v="1"/>
    <x v="1"/>
    <s v="Traditional Blend Chai Lg"/>
    <s v="3"/>
    <x v="4"/>
    <s v="Weekend"/>
  </r>
  <r>
    <x v="200"/>
    <d v="2023-01-01T00:00:00"/>
    <n v="2023"/>
    <n v="1"/>
    <s v="Jan"/>
    <n v="1"/>
    <s v="Sun"/>
    <d v="2026-06-30T14:51:57"/>
    <n v="12"/>
    <s v="Afternoon"/>
    <n v="1"/>
    <x v="0"/>
    <x v="0"/>
    <n v="61"/>
    <x v="2"/>
    <x v="2"/>
    <s v="Sustainably Grown Organic Lg"/>
    <s v="4.75"/>
    <x v="12"/>
    <s v="Weekend"/>
  </r>
  <r>
    <x v="201"/>
    <d v="2023-01-01T00:00:00"/>
    <n v="2023"/>
    <n v="1"/>
    <s v="Jan"/>
    <n v="1"/>
    <s v="Sun"/>
    <d v="2026-06-30T14:51:57"/>
    <n v="12"/>
    <s v="Afternoon"/>
    <n v="1"/>
    <x v="0"/>
    <x v="0"/>
    <n v="72"/>
    <x v="3"/>
    <x v="4"/>
    <s v="Ginger Scone"/>
    <s v="3.25"/>
    <x v="14"/>
    <s v="Weekend"/>
  </r>
  <r>
    <x v="202"/>
    <d v="2023-01-01T00:00:00"/>
    <n v="2023"/>
    <n v="1"/>
    <s v="Jan"/>
    <n v="1"/>
    <s v="Sun"/>
    <d v="2026-06-30T14:52:18"/>
    <n v="12"/>
    <s v="Afternoon"/>
    <n v="1"/>
    <x v="0"/>
    <x v="0"/>
    <n v="56"/>
    <x v="1"/>
    <x v="1"/>
    <s v="Spicy Eye Opener Chai Rg"/>
    <s v="2.55"/>
    <x v="8"/>
    <s v="Weekend"/>
  </r>
  <r>
    <x v="203"/>
    <d v="2023-01-01T00:00:00"/>
    <n v="2023"/>
    <n v="1"/>
    <s v="Jan"/>
    <n v="1"/>
    <s v="Sun"/>
    <d v="2026-06-30T14:52:18"/>
    <n v="12"/>
    <s v="Afternoon"/>
    <n v="1"/>
    <x v="0"/>
    <x v="0"/>
    <n v="75"/>
    <x v="3"/>
    <x v="10"/>
    <s v="Croissant"/>
    <s v="3.5"/>
    <x v="15"/>
    <s v="Weekend"/>
  </r>
  <r>
    <x v="204"/>
    <d v="2023-01-01T00:00:00"/>
    <n v="2023"/>
    <n v="1"/>
    <s v="Jan"/>
    <n v="1"/>
    <s v="Sun"/>
    <d v="2026-06-30T14:53:11"/>
    <n v="12"/>
    <s v="Afternoon"/>
    <n v="2"/>
    <x v="1"/>
    <x v="1"/>
    <n v="29"/>
    <x v="0"/>
    <x v="0"/>
    <s v="Columbian Medium Roast Rg"/>
    <s v="2.5"/>
    <x v="17"/>
    <s v="Weekend"/>
  </r>
  <r>
    <x v="205"/>
    <d v="2023-01-01T00:00:00"/>
    <n v="2023"/>
    <n v="1"/>
    <s v="Jan"/>
    <n v="1"/>
    <s v="Sun"/>
    <d v="2026-06-30T14:53:59"/>
    <n v="12"/>
    <s v="Afternoon"/>
    <n v="1"/>
    <x v="1"/>
    <x v="1"/>
    <n v="37"/>
    <x v="0"/>
    <x v="5"/>
    <s v="Espresso shot"/>
    <s v="3"/>
    <x v="4"/>
    <s v="Weekend"/>
  </r>
  <r>
    <x v="206"/>
    <d v="2023-01-01T00:00:00"/>
    <n v="2023"/>
    <n v="1"/>
    <s v="Jan"/>
    <n v="1"/>
    <s v="Sun"/>
    <d v="2026-06-30T14:55:25"/>
    <n v="12"/>
    <s v="Afternoon"/>
    <n v="1"/>
    <x v="2"/>
    <x v="2"/>
    <n v="49"/>
    <x v="1"/>
    <x v="6"/>
    <s v="English Breakfast Lg"/>
    <s v="3"/>
    <x v="4"/>
    <s v="Weekend"/>
  </r>
  <r>
    <x v="207"/>
    <d v="2023-01-01T00:00:00"/>
    <n v="2023"/>
    <n v="1"/>
    <s v="Jan"/>
    <n v="1"/>
    <s v="Sun"/>
    <d v="2026-06-30T14:55:27"/>
    <n v="12"/>
    <s v="Afternoon"/>
    <n v="1"/>
    <x v="0"/>
    <x v="0"/>
    <n v="57"/>
    <x v="1"/>
    <x v="1"/>
    <s v="Spicy Eye Opener Chai Lg"/>
    <s v="3.1"/>
    <x v="9"/>
    <s v="Weekend"/>
  </r>
  <r>
    <x v="208"/>
    <d v="2023-01-01T00:00:00"/>
    <n v="2023"/>
    <n v="1"/>
    <s v="Jan"/>
    <n v="1"/>
    <s v="Sun"/>
    <d v="2026-06-30T14:55:27"/>
    <n v="12"/>
    <s v="Afternoon"/>
    <n v="1"/>
    <x v="0"/>
    <x v="0"/>
    <n v="75"/>
    <x v="3"/>
    <x v="10"/>
    <s v="Croissant"/>
    <s v="3.5"/>
    <x v="15"/>
    <s v="Weekend"/>
  </r>
  <r>
    <x v="209"/>
    <d v="2023-01-01T00:00:00"/>
    <n v="2023"/>
    <n v="1"/>
    <s v="Jan"/>
    <n v="1"/>
    <s v="Sun"/>
    <d v="2026-06-30T14:55:36"/>
    <n v="12"/>
    <s v="Afternoon"/>
    <n v="1"/>
    <x v="1"/>
    <x v="1"/>
    <n v="45"/>
    <x v="1"/>
    <x v="8"/>
    <s v="Peppermint Lg"/>
    <s v="3"/>
    <x v="4"/>
    <s v="Weekend"/>
  </r>
  <r>
    <x v="210"/>
    <d v="2023-01-01T00:00:00"/>
    <n v="2023"/>
    <n v="1"/>
    <s v="Jan"/>
    <n v="1"/>
    <s v="Sun"/>
    <d v="2026-06-30T14:55:53"/>
    <n v="12"/>
    <s v="Afternoon"/>
    <n v="2"/>
    <x v="1"/>
    <x v="1"/>
    <n v="26"/>
    <x v="0"/>
    <x v="11"/>
    <s v="Brazilian Rg"/>
    <s v="3"/>
    <x v="0"/>
    <s v="Weekend"/>
  </r>
  <r>
    <x v="211"/>
    <d v="2023-01-01T00:00:00"/>
    <n v="2023"/>
    <n v="1"/>
    <s v="Jan"/>
    <n v="1"/>
    <s v="Sun"/>
    <d v="2026-06-30T14:56:33"/>
    <n v="12"/>
    <s v="Afternoon"/>
    <n v="1"/>
    <x v="2"/>
    <x v="2"/>
    <n v="61"/>
    <x v="2"/>
    <x v="2"/>
    <s v="Sustainably Grown Organic Lg"/>
    <s v="4.75"/>
    <x v="12"/>
    <s v="Weekend"/>
  </r>
  <r>
    <x v="212"/>
    <d v="2023-01-01T00:00:00"/>
    <n v="2023"/>
    <n v="1"/>
    <s v="Jan"/>
    <n v="1"/>
    <s v="Sun"/>
    <d v="2026-06-30T14:56:59"/>
    <n v="12"/>
    <s v="Afternoon"/>
    <n v="1"/>
    <x v="2"/>
    <x v="2"/>
    <n v="47"/>
    <x v="1"/>
    <x v="7"/>
    <s v="Serenity Green Tea Lg"/>
    <s v="3"/>
    <x v="4"/>
    <s v="Weekend"/>
  </r>
  <r>
    <x v="213"/>
    <d v="2023-01-01T00:00:00"/>
    <n v="2023"/>
    <n v="1"/>
    <s v="Jan"/>
    <n v="1"/>
    <s v="Sun"/>
    <d v="2026-06-30T14:58:54"/>
    <n v="12"/>
    <s v="Afternoon"/>
    <n v="2"/>
    <x v="2"/>
    <x v="2"/>
    <n v="44"/>
    <x v="1"/>
    <x v="8"/>
    <s v="Peppermint Rg"/>
    <s v="2.5"/>
    <x v="17"/>
    <s v="Weekend"/>
  </r>
  <r>
    <x v="214"/>
    <d v="2023-01-01T00:00:00"/>
    <n v="2023"/>
    <n v="1"/>
    <s v="Jan"/>
    <n v="1"/>
    <s v="Sun"/>
    <d v="2026-06-30T14:59:06"/>
    <n v="12"/>
    <s v="Afternoon"/>
    <n v="1"/>
    <x v="1"/>
    <x v="1"/>
    <n v="36"/>
    <x v="0"/>
    <x v="12"/>
    <s v="Jamaican Coffee River Lg"/>
    <s v="3.75"/>
    <x v="10"/>
    <s v="Weekend"/>
  </r>
  <r>
    <x v="215"/>
    <d v="2023-01-01T00:00:00"/>
    <n v="2023"/>
    <n v="1"/>
    <s v="Jan"/>
    <n v="1"/>
    <s v="Sun"/>
    <d v="2026-06-30T15:00:38"/>
    <n v="13"/>
    <s v="Afternoon"/>
    <n v="2"/>
    <x v="0"/>
    <x v="0"/>
    <n v="30"/>
    <x v="0"/>
    <x v="0"/>
    <s v="Columbian Medium Roast Lg"/>
    <s v="3"/>
    <x v="0"/>
    <s v="Weekend"/>
  </r>
  <r>
    <x v="216"/>
    <d v="2023-01-01T00:00:00"/>
    <n v="2023"/>
    <n v="1"/>
    <s v="Jan"/>
    <n v="1"/>
    <s v="Sun"/>
    <d v="2026-06-30T15:01:33"/>
    <n v="13"/>
    <s v="Afternoon"/>
    <n v="2"/>
    <x v="0"/>
    <x v="0"/>
    <n v="25"/>
    <x v="0"/>
    <x v="11"/>
    <s v="Brazilian Sm"/>
    <s v="2.2"/>
    <x v="19"/>
    <s v="Weekend"/>
  </r>
  <r>
    <x v="217"/>
    <d v="2023-01-01T00:00:00"/>
    <n v="2023"/>
    <n v="1"/>
    <s v="Jan"/>
    <n v="1"/>
    <s v="Sun"/>
    <d v="2026-06-30T15:02:40"/>
    <n v="13"/>
    <s v="Afternoon"/>
    <n v="1"/>
    <x v="1"/>
    <x v="1"/>
    <n v="49"/>
    <x v="1"/>
    <x v="6"/>
    <s v="English Breakfast Lg"/>
    <s v="3"/>
    <x v="4"/>
    <s v="Weekend"/>
  </r>
  <r>
    <x v="218"/>
    <d v="2023-01-01T00:00:00"/>
    <n v="2023"/>
    <n v="1"/>
    <s v="Jan"/>
    <n v="1"/>
    <s v="Sun"/>
    <d v="2026-06-30T15:02:40"/>
    <n v="13"/>
    <s v="Afternoon"/>
    <n v="1"/>
    <x v="1"/>
    <x v="1"/>
    <n v="78"/>
    <x v="3"/>
    <x v="4"/>
    <s v="Scottish Cream Scone "/>
    <s v="4.5"/>
    <x v="18"/>
    <s v="Weekend"/>
  </r>
  <r>
    <x v="219"/>
    <d v="2023-01-01T00:00:00"/>
    <n v="2023"/>
    <n v="1"/>
    <s v="Jan"/>
    <n v="1"/>
    <s v="Sun"/>
    <d v="2026-06-30T15:02:52"/>
    <n v="13"/>
    <s v="Afternoon"/>
    <n v="1"/>
    <x v="1"/>
    <x v="1"/>
    <n v="26"/>
    <x v="0"/>
    <x v="11"/>
    <s v="Brazilian Rg"/>
    <s v="3"/>
    <x v="4"/>
    <s v="Weekend"/>
  </r>
  <r>
    <x v="220"/>
    <d v="2023-01-01T00:00:00"/>
    <n v="2023"/>
    <n v="1"/>
    <s v="Jan"/>
    <n v="1"/>
    <s v="Sun"/>
    <d v="2026-06-30T15:03:13"/>
    <n v="13"/>
    <s v="Afternoon"/>
    <n v="2"/>
    <x v="2"/>
    <x v="2"/>
    <n v="43"/>
    <x v="1"/>
    <x v="8"/>
    <s v="Lemon Grass Lg"/>
    <s v="3"/>
    <x v="0"/>
    <s v="Weekend"/>
  </r>
  <r>
    <x v="221"/>
    <d v="2023-01-01T00:00:00"/>
    <n v="2023"/>
    <n v="1"/>
    <s v="Jan"/>
    <n v="1"/>
    <s v="Sun"/>
    <d v="2026-06-30T15:04:01"/>
    <n v="13"/>
    <s v="Afternoon"/>
    <n v="2"/>
    <x v="1"/>
    <x v="1"/>
    <n v="25"/>
    <x v="0"/>
    <x v="11"/>
    <s v="Brazilian Sm"/>
    <s v="2.2"/>
    <x v="19"/>
    <s v="Weekend"/>
  </r>
  <r>
    <x v="222"/>
    <d v="2023-01-01T00:00:00"/>
    <n v="2023"/>
    <n v="1"/>
    <s v="Jan"/>
    <n v="1"/>
    <s v="Sun"/>
    <d v="2026-06-30T15:04:01"/>
    <n v="13"/>
    <s v="Afternoon"/>
    <n v="1"/>
    <x v="1"/>
    <x v="1"/>
    <n v="72"/>
    <x v="3"/>
    <x v="4"/>
    <s v="Ginger Scone"/>
    <s v="3.25"/>
    <x v="14"/>
    <s v="Weekend"/>
  </r>
  <r>
    <x v="223"/>
    <d v="2023-01-01T00:00:00"/>
    <n v="2023"/>
    <n v="1"/>
    <s v="Jan"/>
    <n v="1"/>
    <s v="Sun"/>
    <d v="2026-06-30T15:04:22"/>
    <n v="13"/>
    <s v="Afternoon"/>
    <n v="2"/>
    <x v="1"/>
    <x v="1"/>
    <n v="42"/>
    <x v="1"/>
    <x v="8"/>
    <s v="Lemon Grass Rg"/>
    <s v="2.5"/>
    <x v="17"/>
    <s v="Weekend"/>
  </r>
  <r>
    <x v="224"/>
    <d v="2023-01-01T00:00:00"/>
    <n v="2023"/>
    <n v="1"/>
    <s v="Jan"/>
    <n v="1"/>
    <s v="Sun"/>
    <d v="2026-06-30T15:04:37"/>
    <n v="13"/>
    <s v="Afternoon"/>
    <n v="2"/>
    <x v="1"/>
    <x v="1"/>
    <n v="54"/>
    <x v="1"/>
    <x v="1"/>
    <s v="Morning Sunrise Chai Rg"/>
    <s v="2.5"/>
    <x v="17"/>
    <s v="Weekend"/>
  </r>
  <r>
    <x v="225"/>
    <d v="2023-01-01T00:00:00"/>
    <n v="2023"/>
    <n v="1"/>
    <s v="Jan"/>
    <n v="1"/>
    <s v="Sun"/>
    <d v="2026-06-30T15:04:51"/>
    <n v="13"/>
    <s v="Afternoon"/>
    <n v="1"/>
    <x v="2"/>
    <x v="2"/>
    <n v="22"/>
    <x v="0"/>
    <x v="3"/>
    <s v="Our Old Time Diner Blend Sm"/>
    <s v="2"/>
    <x v="3"/>
    <s v="Weekend"/>
  </r>
  <r>
    <x v="226"/>
    <d v="2023-01-01T00:00:00"/>
    <n v="2023"/>
    <n v="1"/>
    <s v="Jan"/>
    <n v="1"/>
    <s v="Sun"/>
    <d v="2026-06-30T15:05:56"/>
    <n v="13"/>
    <s v="Afternoon"/>
    <n v="1"/>
    <x v="2"/>
    <x v="2"/>
    <n v="58"/>
    <x v="2"/>
    <x v="2"/>
    <s v="Dark chocolate Rg"/>
    <s v="3.5"/>
    <x v="15"/>
    <s v="Weekend"/>
  </r>
  <r>
    <x v="227"/>
    <d v="2023-01-01T00:00:00"/>
    <n v="2023"/>
    <n v="1"/>
    <s v="Jan"/>
    <n v="1"/>
    <s v="Sun"/>
    <d v="2026-06-30T15:07:37"/>
    <n v="13"/>
    <s v="Afternoon"/>
    <n v="2"/>
    <x v="0"/>
    <x v="0"/>
    <n v="24"/>
    <x v="0"/>
    <x v="3"/>
    <s v="Our Old Time Diner Blend Lg"/>
    <s v="3"/>
    <x v="0"/>
    <s v="Weekend"/>
  </r>
  <r>
    <x v="228"/>
    <d v="2023-01-01T00:00:00"/>
    <n v="2023"/>
    <n v="1"/>
    <s v="Jan"/>
    <n v="1"/>
    <s v="Sun"/>
    <d v="2026-06-30T15:09:03"/>
    <n v="13"/>
    <s v="Afternoon"/>
    <n v="1"/>
    <x v="2"/>
    <x v="2"/>
    <n v="35"/>
    <x v="0"/>
    <x v="12"/>
    <s v="Jamaican Coffee River Rg"/>
    <s v="3.1"/>
    <x v="9"/>
    <s v="Weekend"/>
  </r>
  <r>
    <x v="229"/>
    <d v="2023-01-01T00:00:00"/>
    <n v="2023"/>
    <n v="1"/>
    <s v="Jan"/>
    <n v="1"/>
    <s v="Sun"/>
    <d v="2026-06-30T15:12:03"/>
    <n v="13"/>
    <s v="Afternoon"/>
    <n v="2"/>
    <x v="0"/>
    <x v="0"/>
    <n v="30"/>
    <x v="0"/>
    <x v="0"/>
    <s v="Columbian Medium Roast Lg"/>
    <s v="3"/>
    <x v="0"/>
    <s v="Weekend"/>
  </r>
  <r>
    <x v="230"/>
    <d v="2023-01-01T00:00:00"/>
    <n v="2023"/>
    <n v="1"/>
    <s v="Jan"/>
    <n v="1"/>
    <s v="Sun"/>
    <d v="2026-06-30T15:13:09"/>
    <n v="13"/>
    <s v="Afternoon"/>
    <n v="1"/>
    <x v="0"/>
    <x v="0"/>
    <n v="60"/>
    <x v="2"/>
    <x v="2"/>
    <s v="Sustainably Grown Organic Rg"/>
    <s v="3.75"/>
    <x v="10"/>
    <s v="Weekend"/>
  </r>
  <r>
    <x v="231"/>
    <d v="2023-01-01T00:00:00"/>
    <n v="2023"/>
    <n v="1"/>
    <s v="Jan"/>
    <n v="1"/>
    <s v="Sun"/>
    <d v="2026-06-30T15:17:30"/>
    <n v="13"/>
    <s v="Afternoon"/>
    <n v="1"/>
    <x v="1"/>
    <x v="1"/>
    <n v="56"/>
    <x v="1"/>
    <x v="1"/>
    <s v="Spicy Eye Opener Chai Rg"/>
    <s v="2.55"/>
    <x v="8"/>
    <s v="Weekend"/>
  </r>
  <r>
    <x v="232"/>
    <d v="2023-01-01T00:00:00"/>
    <n v="2023"/>
    <n v="1"/>
    <s v="Jan"/>
    <n v="1"/>
    <s v="Sun"/>
    <d v="2026-06-30T15:17:32"/>
    <n v="13"/>
    <s v="Afternoon"/>
    <n v="2"/>
    <x v="2"/>
    <x v="2"/>
    <n v="55"/>
    <x v="1"/>
    <x v="1"/>
    <s v="Morning Sunrise Chai Lg"/>
    <s v="4"/>
    <x v="24"/>
    <s v="Weekend"/>
  </r>
  <r>
    <x v="233"/>
    <d v="2023-01-01T00:00:00"/>
    <n v="2023"/>
    <n v="1"/>
    <s v="Jan"/>
    <n v="1"/>
    <s v="Sun"/>
    <d v="2026-06-30T15:18:34"/>
    <n v="13"/>
    <s v="Afternoon"/>
    <n v="2"/>
    <x v="1"/>
    <x v="1"/>
    <n v="49"/>
    <x v="1"/>
    <x v="6"/>
    <s v="English Breakfast Lg"/>
    <s v="3"/>
    <x v="0"/>
    <s v="Weekend"/>
  </r>
  <r>
    <x v="234"/>
    <d v="2023-01-01T00:00:00"/>
    <n v="2023"/>
    <n v="1"/>
    <s v="Jan"/>
    <n v="1"/>
    <s v="Sun"/>
    <d v="2026-06-30T15:19:09"/>
    <n v="13"/>
    <s v="Afternoon"/>
    <n v="1"/>
    <x v="1"/>
    <x v="1"/>
    <n v="55"/>
    <x v="1"/>
    <x v="1"/>
    <s v="Morning Sunrise Chai Lg"/>
    <s v="4"/>
    <x v="5"/>
    <s v="Weekend"/>
  </r>
  <r>
    <x v="235"/>
    <d v="2023-01-01T00:00:00"/>
    <n v="2023"/>
    <n v="1"/>
    <s v="Jan"/>
    <n v="1"/>
    <s v="Sun"/>
    <d v="2026-06-30T15:19:09"/>
    <n v="13"/>
    <s v="Afternoon"/>
    <n v="1"/>
    <x v="1"/>
    <x v="1"/>
    <n v="75"/>
    <x v="3"/>
    <x v="10"/>
    <s v="Croissant"/>
    <s v="3.5"/>
    <x v="15"/>
    <s v="Weekend"/>
  </r>
  <r>
    <x v="236"/>
    <d v="2023-01-01T00:00:00"/>
    <n v="2023"/>
    <n v="1"/>
    <s v="Jan"/>
    <n v="1"/>
    <s v="Sun"/>
    <d v="2026-06-30T15:19:36"/>
    <n v="13"/>
    <s v="Afternoon"/>
    <n v="1"/>
    <x v="2"/>
    <x v="2"/>
    <n v="23"/>
    <x v="0"/>
    <x v="3"/>
    <s v="Our Old Time Diner Blend Rg"/>
    <s v="2.5"/>
    <x v="11"/>
    <s v="Weekend"/>
  </r>
  <r>
    <x v="237"/>
    <d v="2023-01-01T00:00:00"/>
    <n v="2023"/>
    <n v="1"/>
    <s v="Jan"/>
    <n v="1"/>
    <s v="Sun"/>
    <d v="2026-06-30T15:19:56"/>
    <n v="13"/>
    <s v="Afternoon"/>
    <n v="2"/>
    <x v="1"/>
    <x v="1"/>
    <n v="31"/>
    <x v="0"/>
    <x v="0"/>
    <s v="Ethiopia Sm"/>
    <s v="2.2"/>
    <x v="19"/>
    <s v="Weekend"/>
  </r>
  <r>
    <x v="238"/>
    <d v="2023-01-01T00:00:00"/>
    <n v="2023"/>
    <n v="1"/>
    <s v="Jan"/>
    <n v="1"/>
    <s v="Sun"/>
    <d v="2026-06-30T15:20:51"/>
    <n v="13"/>
    <s v="Afternoon"/>
    <n v="2"/>
    <x v="2"/>
    <x v="2"/>
    <n v="35"/>
    <x v="0"/>
    <x v="12"/>
    <s v="Jamaican Coffee River Rg"/>
    <s v="3.1"/>
    <x v="1"/>
    <s v="Weekend"/>
  </r>
  <r>
    <x v="239"/>
    <d v="2023-01-01T00:00:00"/>
    <n v="2023"/>
    <n v="1"/>
    <s v="Jan"/>
    <n v="1"/>
    <s v="Sun"/>
    <d v="2026-06-30T15:21:23"/>
    <n v="13"/>
    <s v="Afternoon"/>
    <n v="2"/>
    <x v="2"/>
    <x v="2"/>
    <n v="38"/>
    <x v="0"/>
    <x v="5"/>
    <s v="Latte"/>
    <s v="3.75"/>
    <x v="16"/>
    <s v="Weekend"/>
  </r>
  <r>
    <x v="240"/>
    <d v="2023-01-01T00:00:00"/>
    <n v="2023"/>
    <n v="1"/>
    <s v="Jan"/>
    <n v="1"/>
    <s v="Sun"/>
    <d v="2026-06-30T15:22:11"/>
    <n v="13"/>
    <s v="Afternoon"/>
    <n v="1"/>
    <x v="0"/>
    <x v="0"/>
    <n v="23"/>
    <x v="0"/>
    <x v="3"/>
    <s v="Our Old Time Diner Blend Rg"/>
    <s v="2.5"/>
    <x v="11"/>
    <s v="Weekend"/>
  </r>
  <r>
    <x v="241"/>
    <d v="2023-01-01T00:00:00"/>
    <n v="2023"/>
    <n v="1"/>
    <s v="Jan"/>
    <n v="1"/>
    <s v="Sun"/>
    <d v="2026-06-30T15:22:45"/>
    <n v="13"/>
    <s v="Afternoon"/>
    <n v="2"/>
    <x v="2"/>
    <x v="2"/>
    <n v="46"/>
    <x v="1"/>
    <x v="7"/>
    <s v="Serenity Green Tea Rg"/>
    <s v="2.5"/>
    <x v="17"/>
    <s v="Weekend"/>
  </r>
  <r>
    <x v="242"/>
    <d v="2023-01-01T00:00:00"/>
    <n v="2023"/>
    <n v="1"/>
    <s v="Jan"/>
    <n v="1"/>
    <s v="Sun"/>
    <d v="2026-06-30T15:23:54"/>
    <n v="13"/>
    <s v="Afternoon"/>
    <n v="2"/>
    <x v="2"/>
    <x v="2"/>
    <n v="58"/>
    <x v="2"/>
    <x v="2"/>
    <s v="Dark chocolate Rg"/>
    <s v="3.5"/>
    <x v="7"/>
    <s v="Weekend"/>
  </r>
  <r>
    <x v="243"/>
    <d v="2023-01-01T00:00:00"/>
    <n v="2023"/>
    <n v="1"/>
    <s v="Jan"/>
    <n v="1"/>
    <s v="Sun"/>
    <d v="2026-06-30T15:24:29"/>
    <n v="13"/>
    <s v="Afternoon"/>
    <n v="2"/>
    <x v="0"/>
    <x v="0"/>
    <n v="60"/>
    <x v="2"/>
    <x v="2"/>
    <s v="Sustainably Grown Organic Rg"/>
    <s v="3.75"/>
    <x v="16"/>
    <s v="Weekend"/>
  </r>
  <r>
    <x v="244"/>
    <d v="2023-01-01T00:00:00"/>
    <n v="2023"/>
    <n v="1"/>
    <s v="Jan"/>
    <n v="1"/>
    <s v="Sun"/>
    <d v="2026-06-30T15:30:49"/>
    <n v="13"/>
    <s v="Afternoon"/>
    <n v="2"/>
    <x v="0"/>
    <x v="0"/>
    <n v="31"/>
    <x v="0"/>
    <x v="0"/>
    <s v="Ethiopia Sm"/>
    <s v="2.2"/>
    <x v="19"/>
    <s v="Weekend"/>
  </r>
  <r>
    <x v="245"/>
    <d v="2023-01-01T00:00:00"/>
    <n v="2023"/>
    <n v="1"/>
    <s v="Jan"/>
    <n v="1"/>
    <s v="Sun"/>
    <d v="2026-06-30T15:32:07"/>
    <n v="13"/>
    <s v="Afternoon"/>
    <n v="2"/>
    <x v="0"/>
    <x v="0"/>
    <n v="25"/>
    <x v="0"/>
    <x v="11"/>
    <s v="Brazilian Sm"/>
    <s v="2.2"/>
    <x v="19"/>
    <s v="Weekend"/>
  </r>
  <r>
    <x v="246"/>
    <d v="2023-01-01T00:00:00"/>
    <n v="2023"/>
    <n v="1"/>
    <s v="Jan"/>
    <n v="1"/>
    <s v="Sun"/>
    <d v="2026-06-30T15:32:34"/>
    <n v="13"/>
    <s v="Afternoon"/>
    <n v="1"/>
    <x v="0"/>
    <x v="0"/>
    <n v="87"/>
    <x v="0"/>
    <x v="5"/>
    <s v="Ouro Brasileiro shot"/>
    <s v="3"/>
    <x v="4"/>
    <s v="Weekend"/>
  </r>
  <r>
    <x v="247"/>
    <d v="2023-01-01T00:00:00"/>
    <n v="2023"/>
    <n v="1"/>
    <s v="Jan"/>
    <n v="1"/>
    <s v="Sun"/>
    <d v="2026-06-30T15:34:12"/>
    <n v="13"/>
    <s v="Afternoon"/>
    <n v="2"/>
    <x v="2"/>
    <x v="2"/>
    <n v="28"/>
    <x v="0"/>
    <x v="0"/>
    <s v="Columbian Medium Roast Sm"/>
    <s v="2"/>
    <x v="5"/>
    <s v="Weekend"/>
  </r>
  <r>
    <x v="248"/>
    <d v="2023-01-01T00:00:00"/>
    <n v="2023"/>
    <n v="1"/>
    <s v="Jan"/>
    <n v="1"/>
    <s v="Sun"/>
    <d v="2026-06-30T15:38:09"/>
    <n v="13"/>
    <s v="Afternoon"/>
    <n v="1"/>
    <x v="1"/>
    <x v="1"/>
    <n v="27"/>
    <x v="0"/>
    <x v="11"/>
    <s v="Brazilian Lg"/>
    <s v="3.5"/>
    <x v="15"/>
    <s v="Weekend"/>
  </r>
  <r>
    <x v="249"/>
    <d v="2023-01-01T00:00:00"/>
    <n v="2023"/>
    <n v="1"/>
    <s v="Jan"/>
    <n v="1"/>
    <s v="Sun"/>
    <d v="2026-06-30T15:38:11"/>
    <n v="13"/>
    <s v="Afternoon"/>
    <n v="2"/>
    <x v="1"/>
    <x v="1"/>
    <n v="40"/>
    <x v="0"/>
    <x v="5"/>
    <s v="Cappuccino"/>
    <s v="3.75"/>
    <x v="16"/>
    <s v="Weekend"/>
  </r>
  <r>
    <x v="250"/>
    <d v="2023-01-01T00:00:00"/>
    <n v="2023"/>
    <n v="1"/>
    <s v="Jan"/>
    <n v="1"/>
    <s v="Sun"/>
    <d v="2026-06-30T15:39:41"/>
    <n v="13"/>
    <s v="Afternoon"/>
    <n v="1"/>
    <x v="0"/>
    <x v="0"/>
    <n v="51"/>
    <x v="1"/>
    <x v="6"/>
    <s v="Earl Grey Lg"/>
    <s v="3"/>
    <x v="4"/>
    <s v="Weekend"/>
  </r>
  <r>
    <x v="251"/>
    <d v="2023-01-01T00:00:00"/>
    <n v="2023"/>
    <n v="1"/>
    <s v="Jan"/>
    <n v="1"/>
    <s v="Sun"/>
    <d v="2026-06-30T15:40:47"/>
    <n v="13"/>
    <s v="Afternoon"/>
    <n v="2"/>
    <x v="2"/>
    <x v="2"/>
    <n v="54"/>
    <x v="1"/>
    <x v="1"/>
    <s v="Morning Sunrise Chai Rg"/>
    <s v="2.5"/>
    <x v="17"/>
    <s v="Weekend"/>
  </r>
  <r>
    <x v="252"/>
    <d v="2023-01-01T00:00:00"/>
    <n v="2023"/>
    <n v="1"/>
    <s v="Jan"/>
    <n v="1"/>
    <s v="Sun"/>
    <d v="2026-06-30T15:41:09"/>
    <n v="13"/>
    <s v="Afternoon"/>
    <n v="2"/>
    <x v="2"/>
    <x v="2"/>
    <n v="42"/>
    <x v="1"/>
    <x v="8"/>
    <s v="Lemon Grass Rg"/>
    <s v="2.5"/>
    <x v="17"/>
    <s v="Weekend"/>
  </r>
  <r>
    <x v="253"/>
    <d v="2023-01-01T00:00:00"/>
    <n v="2023"/>
    <n v="1"/>
    <s v="Jan"/>
    <n v="1"/>
    <s v="Sun"/>
    <d v="2026-06-30T15:42:10"/>
    <n v="13"/>
    <s v="Afternoon"/>
    <n v="1"/>
    <x v="2"/>
    <x v="2"/>
    <n v="43"/>
    <x v="1"/>
    <x v="8"/>
    <s v="Lemon Grass Lg"/>
    <s v="3"/>
    <x v="4"/>
    <s v="Weekend"/>
  </r>
  <r>
    <x v="254"/>
    <d v="2023-01-01T00:00:00"/>
    <n v="2023"/>
    <n v="1"/>
    <s v="Jan"/>
    <n v="1"/>
    <s v="Sun"/>
    <d v="2026-06-30T15:42:49"/>
    <n v="13"/>
    <s v="Afternoon"/>
    <n v="1"/>
    <x v="0"/>
    <x v="0"/>
    <n v="36"/>
    <x v="0"/>
    <x v="12"/>
    <s v="Jamaican Coffee River Lg"/>
    <s v="3.75"/>
    <x v="10"/>
    <s v="Weekend"/>
  </r>
  <r>
    <x v="255"/>
    <d v="2023-01-01T00:00:00"/>
    <n v="2023"/>
    <n v="1"/>
    <s v="Jan"/>
    <n v="1"/>
    <s v="Sun"/>
    <d v="2026-06-30T15:42:58"/>
    <n v="13"/>
    <s v="Afternoon"/>
    <n v="1"/>
    <x v="0"/>
    <x v="0"/>
    <n v="52"/>
    <x v="1"/>
    <x v="1"/>
    <s v="Traditional Blend Chai Rg"/>
    <s v="2.5"/>
    <x v="11"/>
    <s v="Weekend"/>
  </r>
  <r>
    <x v="256"/>
    <d v="2023-01-01T00:00:00"/>
    <n v="2023"/>
    <n v="1"/>
    <s v="Jan"/>
    <n v="1"/>
    <s v="Sun"/>
    <d v="2026-06-30T15:42:58"/>
    <n v="13"/>
    <s v="Afternoon"/>
    <n v="1"/>
    <x v="0"/>
    <x v="0"/>
    <n v="72"/>
    <x v="3"/>
    <x v="4"/>
    <s v="Ginger Scone"/>
    <s v="3.25"/>
    <x v="14"/>
    <s v="Weekend"/>
  </r>
  <r>
    <x v="257"/>
    <d v="2023-01-01T00:00:00"/>
    <n v="2023"/>
    <n v="1"/>
    <s v="Jan"/>
    <n v="1"/>
    <s v="Sun"/>
    <d v="2026-06-30T15:43:18"/>
    <n v="13"/>
    <s v="Afternoon"/>
    <n v="2"/>
    <x v="2"/>
    <x v="2"/>
    <n v="54"/>
    <x v="1"/>
    <x v="1"/>
    <s v="Morning Sunrise Chai Rg"/>
    <s v="2.5"/>
    <x v="17"/>
    <s v="Weekend"/>
  </r>
  <r>
    <x v="258"/>
    <d v="2023-01-01T00:00:00"/>
    <n v="2023"/>
    <n v="1"/>
    <s v="Jan"/>
    <n v="1"/>
    <s v="Sun"/>
    <d v="2026-06-30T15:43:18"/>
    <n v="13"/>
    <s v="Afternoon"/>
    <n v="1"/>
    <x v="2"/>
    <x v="2"/>
    <n v="69"/>
    <x v="3"/>
    <x v="9"/>
    <s v="Hazelnut Biscotti"/>
    <s v="3.25"/>
    <x v="14"/>
    <s v="Weekend"/>
  </r>
  <r>
    <x v="259"/>
    <d v="2023-01-01T00:00:00"/>
    <n v="2023"/>
    <n v="1"/>
    <s v="Jan"/>
    <n v="1"/>
    <s v="Sun"/>
    <d v="2026-06-30T15:43:41"/>
    <n v="13"/>
    <s v="Afternoon"/>
    <n v="2"/>
    <x v="0"/>
    <x v="0"/>
    <n v="25"/>
    <x v="0"/>
    <x v="11"/>
    <s v="Brazilian Sm"/>
    <s v="2.2"/>
    <x v="19"/>
    <s v="Weekend"/>
  </r>
  <r>
    <x v="260"/>
    <d v="2023-01-01T00:00:00"/>
    <n v="2023"/>
    <n v="1"/>
    <s v="Jan"/>
    <n v="1"/>
    <s v="Sun"/>
    <d v="2026-06-30T15:44:26"/>
    <n v="13"/>
    <s v="Afternoon"/>
    <n v="1"/>
    <x v="2"/>
    <x v="2"/>
    <n v="57"/>
    <x v="1"/>
    <x v="1"/>
    <s v="Spicy Eye Opener Chai Lg"/>
    <s v="3.1"/>
    <x v="9"/>
    <s v="Weekend"/>
  </r>
  <r>
    <x v="261"/>
    <d v="2023-01-01T00:00:00"/>
    <n v="2023"/>
    <n v="1"/>
    <s v="Jan"/>
    <n v="1"/>
    <s v="Sun"/>
    <d v="2026-06-30T15:47:51"/>
    <n v="13"/>
    <s v="Afternoon"/>
    <n v="1"/>
    <x v="1"/>
    <x v="1"/>
    <n v="40"/>
    <x v="0"/>
    <x v="5"/>
    <s v="Cappuccino"/>
    <s v="3.75"/>
    <x v="10"/>
    <s v="Weekend"/>
  </r>
  <r>
    <x v="262"/>
    <d v="2023-01-01T00:00:00"/>
    <n v="2023"/>
    <n v="1"/>
    <s v="Jan"/>
    <n v="1"/>
    <s v="Sun"/>
    <d v="2026-06-30T15:49:03"/>
    <n v="13"/>
    <s v="Afternoon"/>
    <n v="2"/>
    <x v="1"/>
    <x v="1"/>
    <n v="22"/>
    <x v="0"/>
    <x v="3"/>
    <s v="Our Old Time Diner Blend Sm"/>
    <s v="2"/>
    <x v="5"/>
    <s v="Weekend"/>
  </r>
  <r>
    <x v="263"/>
    <d v="2023-01-01T00:00:00"/>
    <n v="2023"/>
    <n v="1"/>
    <s v="Jan"/>
    <n v="1"/>
    <s v="Sun"/>
    <d v="2026-06-30T15:50:09"/>
    <n v="13"/>
    <s v="Afternoon"/>
    <n v="1"/>
    <x v="0"/>
    <x v="0"/>
    <n v="53"/>
    <x v="1"/>
    <x v="1"/>
    <s v="Traditional Blend Chai Lg"/>
    <s v="3"/>
    <x v="4"/>
    <s v="Weekend"/>
  </r>
  <r>
    <x v="264"/>
    <d v="2023-01-01T00:00:00"/>
    <n v="2023"/>
    <n v="1"/>
    <s v="Jan"/>
    <n v="1"/>
    <s v="Sun"/>
    <d v="2026-06-30T15:50:47"/>
    <n v="13"/>
    <s v="Afternoon"/>
    <n v="2"/>
    <x v="1"/>
    <x v="1"/>
    <n v="54"/>
    <x v="1"/>
    <x v="1"/>
    <s v="Morning Sunrise Chai Rg"/>
    <s v="2.5"/>
    <x v="17"/>
    <s v="Weekend"/>
  </r>
  <r>
    <x v="265"/>
    <d v="2023-01-01T00:00:00"/>
    <n v="2023"/>
    <n v="1"/>
    <s v="Jan"/>
    <n v="1"/>
    <s v="Sun"/>
    <d v="2026-06-30T15:51:56"/>
    <n v="13"/>
    <s v="Afternoon"/>
    <n v="2"/>
    <x v="1"/>
    <x v="1"/>
    <n v="32"/>
    <x v="0"/>
    <x v="0"/>
    <s v="Ethiopia Rg"/>
    <s v="3"/>
    <x v="0"/>
    <s v="Weekend"/>
  </r>
  <r>
    <x v="266"/>
    <d v="2023-01-01T00:00:00"/>
    <n v="2023"/>
    <n v="1"/>
    <s v="Jan"/>
    <n v="1"/>
    <s v="Sun"/>
    <d v="2026-06-30T15:53:04"/>
    <n v="13"/>
    <s v="Afternoon"/>
    <n v="2"/>
    <x v="2"/>
    <x v="2"/>
    <n v="38"/>
    <x v="0"/>
    <x v="5"/>
    <s v="Latte"/>
    <s v="3.75"/>
    <x v="16"/>
    <s v="Weekend"/>
  </r>
  <r>
    <x v="267"/>
    <d v="2023-01-01T00:00:00"/>
    <n v="2023"/>
    <n v="1"/>
    <s v="Jan"/>
    <n v="1"/>
    <s v="Sun"/>
    <d v="2026-06-30T15:53:31"/>
    <n v="13"/>
    <s v="Afternoon"/>
    <n v="1"/>
    <x v="1"/>
    <x v="1"/>
    <n v="33"/>
    <x v="0"/>
    <x v="0"/>
    <s v="Ethiopia Lg"/>
    <s v="3.5"/>
    <x v="15"/>
    <s v="Weekend"/>
  </r>
  <r>
    <x v="268"/>
    <d v="2023-01-01T00:00:00"/>
    <n v="2023"/>
    <n v="1"/>
    <s v="Jan"/>
    <n v="1"/>
    <s v="Sun"/>
    <d v="2026-06-30T15:54:18"/>
    <n v="13"/>
    <s v="Afternoon"/>
    <n v="2"/>
    <x v="1"/>
    <x v="1"/>
    <n v="22"/>
    <x v="0"/>
    <x v="3"/>
    <s v="Our Old Time Diner Blend Sm"/>
    <s v="2"/>
    <x v="5"/>
    <s v="Weekend"/>
  </r>
  <r>
    <x v="269"/>
    <d v="2023-01-01T00:00:00"/>
    <n v="2023"/>
    <n v="1"/>
    <s v="Jan"/>
    <n v="1"/>
    <s v="Sun"/>
    <d v="2026-06-30T15:55:04"/>
    <n v="13"/>
    <s v="Afternoon"/>
    <n v="1"/>
    <x v="0"/>
    <x v="0"/>
    <n v="42"/>
    <x v="1"/>
    <x v="8"/>
    <s v="Lemon Grass Rg"/>
    <s v="2.5"/>
    <x v="11"/>
    <s v="Weekend"/>
  </r>
  <r>
    <x v="270"/>
    <d v="2023-01-01T00:00:00"/>
    <n v="2023"/>
    <n v="1"/>
    <s v="Jan"/>
    <n v="1"/>
    <s v="Sun"/>
    <d v="2026-06-30T15:55:50"/>
    <n v="13"/>
    <s v="Afternoon"/>
    <n v="2"/>
    <x v="1"/>
    <x v="1"/>
    <n v="45"/>
    <x v="1"/>
    <x v="8"/>
    <s v="Peppermint Lg"/>
    <s v="3"/>
    <x v="0"/>
    <s v="Weekend"/>
  </r>
  <r>
    <x v="271"/>
    <d v="2023-01-01T00:00:00"/>
    <n v="2023"/>
    <n v="1"/>
    <s v="Jan"/>
    <n v="1"/>
    <s v="Sun"/>
    <d v="2026-06-30T15:56:15"/>
    <n v="13"/>
    <s v="Afternoon"/>
    <n v="2"/>
    <x v="1"/>
    <x v="1"/>
    <n v="48"/>
    <x v="1"/>
    <x v="6"/>
    <s v="English Breakfast Rg"/>
    <s v="2.5"/>
    <x v="17"/>
    <s v="Weekend"/>
  </r>
  <r>
    <x v="272"/>
    <d v="2023-01-01T00:00:00"/>
    <n v="2023"/>
    <n v="1"/>
    <s v="Jan"/>
    <n v="1"/>
    <s v="Sun"/>
    <d v="2026-06-30T15:56:24"/>
    <n v="13"/>
    <s v="Afternoon"/>
    <n v="1"/>
    <x v="1"/>
    <x v="1"/>
    <n v="53"/>
    <x v="1"/>
    <x v="1"/>
    <s v="Traditional Blend Chai Lg"/>
    <s v="3"/>
    <x v="4"/>
    <s v="Weekend"/>
  </r>
  <r>
    <x v="273"/>
    <d v="2023-01-01T00:00:00"/>
    <n v="2023"/>
    <n v="1"/>
    <s v="Jan"/>
    <n v="1"/>
    <s v="Sun"/>
    <d v="2026-06-30T15:57:34"/>
    <n v="13"/>
    <s v="Afternoon"/>
    <n v="2"/>
    <x v="0"/>
    <x v="0"/>
    <n v="27"/>
    <x v="0"/>
    <x v="11"/>
    <s v="Brazilian Lg"/>
    <s v="3.5"/>
    <x v="7"/>
    <s v="Weekend"/>
  </r>
  <r>
    <x v="274"/>
    <d v="2023-01-01T00:00:00"/>
    <n v="2023"/>
    <n v="1"/>
    <s v="Jan"/>
    <n v="1"/>
    <s v="Sun"/>
    <d v="2026-06-30T15:57:34"/>
    <n v="13"/>
    <s v="Afternoon"/>
    <n v="1"/>
    <x v="0"/>
    <x v="0"/>
    <n v="71"/>
    <x v="3"/>
    <x v="10"/>
    <s v="Chocolate Croissant"/>
    <s v="3.75"/>
    <x v="10"/>
    <s v="Weekend"/>
  </r>
  <r>
    <x v="275"/>
    <d v="2023-01-01T00:00:00"/>
    <n v="2023"/>
    <n v="1"/>
    <s v="Jan"/>
    <n v="1"/>
    <s v="Sun"/>
    <d v="2026-06-30T15:58:10"/>
    <n v="13"/>
    <s v="Afternoon"/>
    <n v="2"/>
    <x v="2"/>
    <x v="2"/>
    <n v="46"/>
    <x v="1"/>
    <x v="7"/>
    <s v="Serenity Green Tea Rg"/>
    <s v="2.5"/>
    <x v="17"/>
    <s v="Weekend"/>
  </r>
  <r>
    <x v="276"/>
    <d v="2023-01-01T00:00:00"/>
    <n v="2023"/>
    <n v="1"/>
    <s v="Jan"/>
    <n v="1"/>
    <s v="Sun"/>
    <d v="2026-06-30T15:58:11"/>
    <n v="13"/>
    <s v="Afternoon"/>
    <n v="1"/>
    <x v="0"/>
    <x v="0"/>
    <n v="34"/>
    <x v="0"/>
    <x v="12"/>
    <s v="Jamaican Coffee River Sm"/>
    <s v="2.45"/>
    <x v="20"/>
    <s v="Weekend"/>
  </r>
  <r>
    <x v="277"/>
    <d v="2023-01-01T00:00:00"/>
    <n v="2023"/>
    <n v="1"/>
    <s v="Jan"/>
    <n v="1"/>
    <s v="Sun"/>
    <d v="2026-06-30T15:59:58"/>
    <n v="13"/>
    <s v="Afternoon"/>
    <n v="2"/>
    <x v="0"/>
    <x v="0"/>
    <n v="39"/>
    <x v="0"/>
    <x v="5"/>
    <s v="Latte Rg"/>
    <s v="4.25"/>
    <x v="21"/>
    <s v="Weekend"/>
  </r>
  <r>
    <x v="278"/>
    <d v="2023-01-01T00:00:00"/>
    <n v="2023"/>
    <n v="1"/>
    <s v="Jan"/>
    <n v="1"/>
    <s v="Sun"/>
    <d v="2026-06-30T16:03:34"/>
    <n v="14"/>
    <s v="Afternoon"/>
    <n v="2"/>
    <x v="0"/>
    <x v="0"/>
    <n v="25"/>
    <x v="0"/>
    <x v="11"/>
    <s v="Brazilian Sm"/>
    <s v="2.2"/>
    <x v="19"/>
    <s v="Weekend"/>
  </r>
  <r>
    <x v="279"/>
    <d v="2023-01-01T00:00:00"/>
    <n v="2023"/>
    <n v="1"/>
    <s v="Jan"/>
    <n v="1"/>
    <s v="Sun"/>
    <d v="2026-06-30T16:03:34"/>
    <n v="14"/>
    <s v="Afternoon"/>
    <n v="1"/>
    <x v="0"/>
    <x v="0"/>
    <n v="69"/>
    <x v="3"/>
    <x v="9"/>
    <s v="Hazelnut Biscotti"/>
    <s v="3.25"/>
    <x v="14"/>
    <s v="Weekend"/>
  </r>
  <r>
    <x v="280"/>
    <d v="2023-01-01T00:00:00"/>
    <n v="2023"/>
    <n v="1"/>
    <s v="Jan"/>
    <n v="1"/>
    <s v="Sun"/>
    <d v="2026-06-30T16:03:41"/>
    <n v="14"/>
    <s v="Afternoon"/>
    <n v="1"/>
    <x v="2"/>
    <x v="2"/>
    <n v="32"/>
    <x v="0"/>
    <x v="0"/>
    <s v="Ethiopia Rg"/>
    <s v="3"/>
    <x v="4"/>
    <s v="Weekend"/>
  </r>
  <r>
    <x v="281"/>
    <d v="2023-01-01T00:00:00"/>
    <n v="2023"/>
    <n v="1"/>
    <s v="Jan"/>
    <n v="1"/>
    <s v="Sun"/>
    <d v="2026-06-30T16:07:12"/>
    <n v="14"/>
    <s v="Afternoon"/>
    <n v="2"/>
    <x v="2"/>
    <x v="2"/>
    <n v="41"/>
    <x v="0"/>
    <x v="5"/>
    <s v="Cappuccino Lg"/>
    <s v="4.25"/>
    <x v="21"/>
    <s v="Weekend"/>
  </r>
  <r>
    <x v="282"/>
    <d v="2023-01-01T00:00:00"/>
    <n v="2023"/>
    <n v="1"/>
    <s v="Jan"/>
    <n v="1"/>
    <s v="Sun"/>
    <d v="2026-06-30T16:07:56"/>
    <n v="14"/>
    <s v="Afternoon"/>
    <n v="1"/>
    <x v="2"/>
    <x v="2"/>
    <n v="23"/>
    <x v="0"/>
    <x v="3"/>
    <s v="Our Old Time Diner Blend Rg"/>
    <s v="2.5"/>
    <x v="11"/>
    <s v="Weekend"/>
  </r>
  <r>
    <x v="283"/>
    <d v="2023-01-01T00:00:00"/>
    <n v="2023"/>
    <n v="1"/>
    <s v="Jan"/>
    <n v="1"/>
    <s v="Sun"/>
    <d v="2026-06-30T16:08:03"/>
    <n v="14"/>
    <s v="Afternoon"/>
    <n v="1"/>
    <x v="1"/>
    <x v="1"/>
    <n v="24"/>
    <x v="0"/>
    <x v="3"/>
    <s v="Our Old Time Diner Blend Lg"/>
    <s v="3"/>
    <x v="4"/>
    <s v="Weekend"/>
  </r>
  <r>
    <x v="284"/>
    <d v="2023-01-01T00:00:00"/>
    <n v="2023"/>
    <n v="1"/>
    <s v="Jan"/>
    <n v="1"/>
    <s v="Sun"/>
    <d v="2026-06-30T16:08:03"/>
    <n v="14"/>
    <s v="Afternoon"/>
    <n v="1"/>
    <x v="1"/>
    <x v="1"/>
    <n v="71"/>
    <x v="3"/>
    <x v="10"/>
    <s v="Chocolate Croissant"/>
    <s v="3.75"/>
    <x v="10"/>
    <s v="Weekend"/>
  </r>
  <r>
    <x v="285"/>
    <d v="2023-01-01T00:00:00"/>
    <n v="2023"/>
    <n v="1"/>
    <s v="Jan"/>
    <n v="1"/>
    <s v="Sun"/>
    <d v="2026-06-30T16:11:14"/>
    <n v="14"/>
    <s v="Afternoon"/>
    <n v="2"/>
    <x v="1"/>
    <x v="1"/>
    <n v="60"/>
    <x v="2"/>
    <x v="2"/>
    <s v="Sustainably Grown Organic Rg"/>
    <s v="3.75"/>
    <x v="16"/>
    <s v="Weekend"/>
  </r>
  <r>
    <x v="286"/>
    <d v="2023-01-01T00:00:00"/>
    <n v="2023"/>
    <n v="1"/>
    <s v="Jan"/>
    <n v="1"/>
    <s v="Sun"/>
    <d v="2026-06-30T16:13:28"/>
    <n v="14"/>
    <s v="Afternoon"/>
    <n v="2"/>
    <x v="0"/>
    <x v="0"/>
    <n v="57"/>
    <x v="1"/>
    <x v="1"/>
    <s v="Spicy Eye Opener Chai Lg"/>
    <s v="3.1"/>
    <x v="1"/>
    <s v="Weekend"/>
  </r>
  <r>
    <x v="287"/>
    <d v="2023-01-01T00:00:00"/>
    <n v="2023"/>
    <n v="1"/>
    <s v="Jan"/>
    <n v="1"/>
    <s v="Sun"/>
    <d v="2026-06-30T16:19:57"/>
    <n v="14"/>
    <s v="Afternoon"/>
    <n v="2"/>
    <x v="0"/>
    <x v="0"/>
    <n v="23"/>
    <x v="0"/>
    <x v="3"/>
    <s v="Our Old Time Diner Blend Rg"/>
    <s v="2.5"/>
    <x v="17"/>
    <s v="Weekend"/>
  </r>
  <r>
    <x v="288"/>
    <d v="2023-01-01T00:00:00"/>
    <n v="2023"/>
    <n v="1"/>
    <s v="Jan"/>
    <n v="1"/>
    <s v="Sun"/>
    <d v="2026-06-30T16:20:06"/>
    <n v="14"/>
    <s v="Afternoon"/>
    <n v="2"/>
    <x v="2"/>
    <x v="2"/>
    <n v="35"/>
    <x v="0"/>
    <x v="12"/>
    <s v="Jamaican Coffee River Rg"/>
    <s v="3.1"/>
    <x v="1"/>
    <s v="Weekend"/>
  </r>
  <r>
    <x v="289"/>
    <d v="2023-01-01T00:00:00"/>
    <n v="2023"/>
    <n v="1"/>
    <s v="Jan"/>
    <n v="1"/>
    <s v="Sun"/>
    <d v="2026-06-30T16:20:08"/>
    <n v="14"/>
    <s v="Afternoon"/>
    <n v="2"/>
    <x v="2"/>
    <x v="2"/>
    <n v="42"/>
    <x v="1"/>
    <x v="8"/>
    <s v="Lemon Grass Rg"/>
    <s v="2.5"/>
    <x v="17"/>
    <s v="Weekend"/>
  </r>
  <r>
    <x v="290"/>
    <d v="2023-01-01T00:00:00"/>
    <n v="2023"/>
    <n v="1"/>
    <s v="Jan"/>
    <n v="1"/>
    <s v="Sun"/>
    <d v="2026-06-30T16:22:01"/>
    <n v="14"/>
    <s v="Afternoon"/>
    <n v="2"/>
    <x v="1"/>
    <x v="1"/>
    <n v="49"/>
    <x v="1"/>
    <x v="6"/>
    <s v="English Breakfast Lg"/>
    <s v="3"/>
    <x v="0"/>
    <s v="Weekend"/>
  </r>
  <r>
    <x v="291"/>
    <d v="2023-01-01T00:00:00"/>
    <n v="2023"/>
    <n v="1"/>
    <s v="Jan"/>
    <n v="1"/>
    <s v="Sun"/>
    <d v="2026-06-30T16:22:38"/>
    <n v="14"/>
    <s v="Afternoon"/>
    <n v="2"/>
    <x v="0"/>
    <x v="0"/>
    <n v="39"/>
    <x v="0"/>
    <x v="5"/>
    <s v="Latte Rg"/>
    <s v="4.25"/>
    <x v="21"/>
    <s v="Weekend"/>
  </r>
  <r>
    <x v="292"/>
    <d v="2023-01-01T00:00:00"/>
    <n v="2023"/>
    <n v="1"/>
    <s v="Jan"/>
    <n v="1"/>
    <s v="Sun"/>
    <d v="2026-06-30T16:23:28"/>
    <n v="14"/>
    <s v="Afternoon"/>
    <n v="1"/>
    <x v="1"/>
    <x v="1"/>
    <n v="55"/>
    <x v="1"/>
    <x v="1"/>
    <s v="Morning Sunrise Chai Lg"/>
    <s v="4"/>
    <x v="5"/>
    <s v="Weekend"/>
  </r>
  <r>
    <x v="293"/>
    <d v="2023-01-01T00:00:00"/>
    <n v="2023"/>
    <n v="1"/>
    <s v="Jan"/>
    <n v="1"/>
    <s v="Sun"/>
    <d v="2026-06-30T16:23:28"/>
    <n v="14"/>
    <s v="Afternoon"/>
    <n v="1"/>
    <x v="1"/>
    <x v="1"/>
    <n v="71"/>
    <x v="3"/>
    <x v="10"/>
    <s v="Chocolate Croissant"/>
    <s v="3.75"/>
    <x v="10"/>
    <s v="Weekend"/>
  </r>
  <r>
    <x v="294"/>
    <d v="2023-01-01T00:00:00"/>
    <n v="2023"/>
    <n v="1"/>
    <s v="Jan"/>
    <n v="1"/>
    <s v="Sun"/>
    <d v="2026-06-30T16:24:55"/>
    <n v="14"/>
    <s v="Afternoon"/>
    <n v="2"/>
    <x v="2"/>
    <x v="2"/>
    <n v="41"/>
    <x v="0"/>
    <x v="5"/>
    <s v="Cappuccino Lg"/>
    <s v="4.25"/>
    <x v="21"/>
    <s v="Weekend"/>
  </r>
  <r>
    <x v="295"/>
    <d v="2023-01-01T00:00:00"/>
    <n v="2023"/>
    <n v="1"/>
    <s v="Jan"/>
    <n v="1"/>
    <s v="Sun"/>
    <d v="2026-06-30T16:24:55"/>
    <n v="14"/>
    <s v="Afternoon"/>
    <n v="1"/>
    <x v="2"/>
    <x v="2"/>
    <n v="79"/>
    <x v="3"/>
    <x v="4"/>
    <s v="Jumbo Savory Scone"/>
    <s v="3.75"/>
    <x v="10"/>
    <s v="Weekend"/>
  </r>
  <r>
    <x v="296"/>
    <d v="2023-01-01T00:00:00"/>
    <n v="2023"/>
    <n v="1"/>
    <s v="Jan"/>
    <n v="1"/>
    <s v="Sun"/>
    <d v="2026-06-30T16:25:32"/>
    <n v="14"/>
    <s v="Afternoon"/>
    <n v="2"/>
    <x v="2"/>
    <x v="2"/>
    <n v="58"/>
    <x v="2"/>
    <x v="2"/>
    <s v="Dark chocolate Rg"/>
    <s v="3.5"/>
    <x v="7"/>
    <s v="Weekend"/>
  </r>
  <r>
    <x v="297"/>
    <d v="2023-01-01T00:00:00"/>
    <n v="2023"/>
    <n v="1"/>
    <s v="Jan"/>
    <n v="1"/>
    <s v="Sun"/>
    <d v="2026-06-30T16:25:39"/>
    <n v="14"/>
    <s v="Afternoon"/>
    <n v="2"/>
    <x v="0"/>
    <x v="0"/>
    <n v="24"/>
    <x v="0"/>
    <x v="3"/>
    <s v="Our Old Time Diner Blend Lg"/>
    <s v="3"/>
    <x v="0"/>
    <s v="Weekend"/>
  </r>
  <r>
    <x v="298"/>
    <d v="2023-01-01T00:00:00"/>
    <n v="2023"/>
    <n v="1"/>
    <s v="Jan"/>
    <n v="1"/>
    <s v="Sun"/>
    <d v="2026-06-30T16:26:36"/>
    <n v="14"/>
    <s v="Afternoon"/>
    <n v="1"/>
    <x v="1"/>
    <x v="1"/>
    <n v="61"/>
    <x v="2"/>
    <x v="2"/>
    <s v="Sustainably Grown Organic Lg"/>
    <s v="4.75"/>
    <x v="12"/>
    <s v="Weekend"/>
  </r>
  <r>
    <x v="299"/>
    <d v="2023-01-01T00:00:00"/>
    <n v="2023"/>
    <n v="1"/>
    <s v="Jan"/>
    <n v="1"/>
    <s v="Sun"/>
    <d v="2026-06-30T16:29:05"/>
    <n v="14"/>
    <s v="Afternoon"/>
    <n v="2"/>
    <x v="0"/>
    <x v="0"/>
    <n v="45"/>
    <x v="1"/>
    <x v="8"/>
    <s v="Peppermint Lg"/>
    <s v="3"/>
    <x v="0"/>
    <s v="Weekend"/>
  </r>
  <r>
    <x v="300"/>
    <d v="2023-01-01T00:00:00"/>
    <n v="2023"/>
    <n v="1"/>
    <s v="Jan"/>
    <n v="1"/>
    <s v="Sun"/>
    <d v="2026-06-30T16:29:50"/>
    <n v="14"/>
    <s v="Afternoon"/>
    <n v="2"/>
    <x v="0"/>
    <x v="0"/>
    <n v="49"/>
    <x v="1"/>
    <x v="6"/>
    <s v="English Breakfast Lg"/>
    <s v="3"/>
    <x v="0"/>
    <s v="Weekend"/>
  </r>
  <r>
    <x v="301"/>
    <d v="2023-01-01T00:00:00"/>
    <n v="2023"/>
    <n v="1"/>
    <s v="Jan"/>
    <n v="1"/>
    <s v="Sun"/>
    <d v="2026-06-30T16:29:50"/>
    <n v="14"/>
    <s v="Afternoon"/>
    <n v="1"/>
    <x v="0"/>
    <x v="0"/>
    <n v="78"/>
    <x v="3"/>
    <x v="4"/>
    <s v="Scottish Cream Scone "/>
    <s v="4.5"/>
    <x v="18"/>
    <s v="Weekend"/>
  </r>
  <r>
    <x v="302"/>
    <d v="2023-01-01T00:00:00"/>
    <n v="2023"/>
    <n v="1"/>
    <s v="Jan"/>
    <n v="1"/>
    <s v="Sun"/>
    <d v="2026-06-30T16:30:51"/>
    <n v="14"/>
    <s v="Afternoon"/>
    <n v="1"/>
    <x v="1"/>
    <x v="1"/>
    <n v="48"/>
    <x v="1"/>
    <x v="6"/>
    <s v="English Breakfast Rg"/>
    <s v="2.5"/>
    <x v="11"/>
    <s v="Weekend"/>
  </r>
  <r>
    <x v="303"/>
    <d v="2023-01-01T00:00:00"/>
    <n v="2023"/>
    <n v="1"/>
    <s v="Jan"/>
    <n v="1"/>
    <s v="Sun"/>
    <d v="2026-06-30T16:30:58"/>
    <n v="14"/>
    <s v="Afternoon"/>
    <n v="1"/>
    <x v="0"/>
    <x v="0"/>
    <n v="57"/>
    <x v="1"/>
    <x v="1"/>
    <s v="Spicy Eye Opener Chai Lg"/>
    <s v="3.1"/>
    <x v="9"/>
    <s v="Weekend"/>
  </r>
  <r>
    <x v="304"/>
    <d v="2023-01-01T00:00:00"/>
    <n v="2023"/>
    <n v="1"/>
    <s v="Jan"/>
    <n v="1"/>
    <s v="Sun"/>
    <d v="2026-06-30T16:31:26"/>
    <n v="14"/>
    <s v="Afternoon"/>
    <n v="1"/>
    <x v="0"/>
    <x v="0"/>
    <n v="42"/>
    <x v="1"/>
    <x v="8"/>
    <s v="Lemon Grass Rg"/>
    <s v="2.5"/>
    <x v="11"/>
    <s v="Weekend"/>
  </r>
  <r>
    <x v="305"/>
    <d v="2023-01-01T00:00:00"/>
    <n v="2023"/>
    <n v="1"/>
    <s v="Jan"/>
    <n v="1"/>
    <s v="Sun"/>
    <d v="2026-06-30T16:32:20"/>
    <n v="14"/>
    <s v="Afternoon"/>
    <n v="2"/>
    <x v="1"/>
    <x v="1"/>
    <n v="30"/>
    <x v="0"/>
    <x v="0"/>
    <s v="Columbian Medium Roast Lg"/>
    <s v="3"/>
    <x v="0"/>
    <s v="Weekend"/>
  </r>
  <r>
    <x v="306"/>
    <d v="2023-01-01T00:00:00"/>
    <n v="2023"/>
    <n v="1"/>
    <s v="Jan"/>
    <n v="1"/>
    <s v="Sun"/>
    <d v="2026-06-30T16:32:42"/>
    <n v="14"/>
    <s v="Afternoon"/>
    <n v="2"/>
    <x v="0"/>
    <x v="0"/>
    <n v="41"/>
    <x v="0"/>
    <x v="5"/>
    <s v="Cappuccino Lg"/>
    <s v="4.25"/>
    <x v="21"/>
    <s v="Weekend"/>
  </r>
  <r>
    <x v="307"/>
    <d v="2023-01-01T00:00:00"/>
    <n v="2023"/>
    <n v="1"/>
    <s v="Jan"/>
    <n v="1"/>
    <s v="Sun"/>
    <d v="2026-06-30T16:32:54"/>
    <n v="14"/>
    <s v="Afternoon"/>
    <n v="2"/>
    <x v="1"/>
    <x v="1"/>
    <n v="39"/>
    <x v="0"/>
    <x v="5"/>
    <s v="Latte Rg"/>
    <s v="4.25"/>
    <x v="21"/>
    <s v="Weekend"/>
  </r>
  <r>
    <x v="308"/>
    <d v="2023-01-01T00:00:00"/>
    <n v="2023"/>
    <n v="1"/>
    <s v="Jan"/>
    <n v="1"/>
    <s v="Sun"/>
    <d v="2026-06-30T16:35:47"/>
    <n v="14"/>
    <s v="Afternoon"/>
    <n v="1"/>
    <x v="2"/>
    <x v="2"/>
    <n v="55"/>
    <x v="1"/>
    <x v="1"/>
    <s v="Morning Sunrise Chai Lg"/>
    <s v="4"/>
    <x v="5"/>
    <s v="Weekend"/>
  </r>
  <r>
    <x v="309"/>
    <d v="2023-01-01T00:00:00"/>
    <n v="2023"/>
    <n v="1"/>
    <s v="Jan"/>
    <n v="1"/>
    <s v="Sun"/>
    <d v="2026-06-30T16:36:23"/>
    <n v="14"/>
    <s v="Afternoon"/>
    <n v="2"/>
    <x v="2"/>
    <x v="2"/>
    <n v="30"/>
    <x v="0"/>
    <x v="0"/>
    <s v="Columbian Medium Roast Lg"/>
    <s v="3"/>
    <x v="0"/>
    <s v="Weekend"/>
  </r>
  <r>
    <x v="310"/>
    <d v="2023-01-01T00:00:00"/>
    <n v="2023"/>
    <n v="1"/>
    <s v="Jan"/>
    <n v="1"/>
    <s v="Sun"/>
    <d v="2026-06-30T16:36:35"/>
    <n v="14"/>
    <s v="Afternoon"/>
    <n v="1"/>
    <x v="0"/>
    <x v="0"/>
    <n v="57"/>
    <x v="1"/>
    <x v="1"/>
    <s v="Spicy Eye Opener Chai Lg"/>
    <s v="3.1"/>
    <x v="9"/>
    <s v="Weekend"/>
  </r>
  <r>
    <x v="311"/>
    <d v="2023-01-01T00:00:00"/>
    <n v="2023"/>
    <n v="1"/>
    <s v="Jan"/>
    <n v="1"/>
    <s v="Sun"/>
    <d v="2026-06-30T16:37:48"/>
    <n v="14"/>
    <s v="Afternoon"/>
    <n v="1"/>
    <x v="0"/>
    <x v="0"/>
    <n v="44"/>
    <x v="1"/>
    <x v="8"/>
    <s v="Peppermint Rg"/>
    <s v="2.5"/>
    <x v="11"/>
    <s v="Weekend"/>
  </r>
  <r>
    <x v="312"/>
    <d v="2023-01-01T00:00:00"/>
    <n v="2023"/>
    <n v="1"/>
    <s v="Jan"/>
    <n v="1"/>
    <s v="Sun"/>
    <d v="2026-06-30T16:39:06"/>
    <n v="14"/>
    <s v="Afternoon"/>
    <n v="1"/>
    <x v="0"/>
    <x v="0"/>
    <n v="87"/>
    <x v="0"/>
    <x v="5"/>
    <s v="Ouro Brasileiro shot"/>
    <s v="3"/>
    <x v="4"/>
    <s v="Weekend"/>
  </r>
  <r>
    <x v="313"/>
    <d v="2023-01-01T00:00:00"/>
    <n v="2023"/>
    <n v="1"/>
    <s v="Jan"/>
    <n v="1"/>
    <s v="Sun"/>
    <d v="2026-06-30T16:39:48"/>
    <n v="14"/>
    <s v="Afternoon"/>
    <n v="2"/>
    <x v="1"/>
    <x v="1"/>
    <n v="34"/>
    <x v="0"/>
    <x v="12"/>
    <s v="Jamaican Coffee River Sm"/>
    <s v="2.45"/>
    <x v="25"/>
    <s v="Weekend"/>
  </r>
  <r>
    <x v="314"/>
    <d v="2023-01-01T00:00:00"/>
    <n v="2023"/>
    <n v="1"/>
    <s v="Jan"/>
    <n v="1"/>
    <s v="Sun"/>
    <d v="2026-06-30T16:42:39"/>
    <n v="14"/>
    <s v="Afternoon"/>
    <n v="2"/>
    <x v="0"/>
    <x v="0"/>
    <n v="61"/>
    <x v="2"/>
    <x v="2"/>
    <s v="Sustainably Grown Organic Lg"/>
    <s v="4.75"/>
    <x v="22"/>
    <s v="Weekend"/>
  </r>
  <r>
    <x v="315"/>
    <d v="2023-01-01T00:00:00"/>
    <n v="2023"/>
    <n v="1"/>
    <s v="Jan"/>
    <n v="1"/>
    <s v="Sun"/>
    <d v="2026-06-30T16:43:13"/>
    <n v="14"/>
    <s v="Afternoon"/>
    <n v="2"/>
    <x v="2"/>
    <x v="2"/>
    <n v="50"/>
    <x v="1"/>
    <x v="6"/>
    <s v="Earl Grey Rg"/>
    <s v="2.5"/>
    <x v="17"/>
    <s v="Weekend"/>
  </r>
  <r>
    <x v="316"/>
    <d v="2023-01-01T00:00:00"/>
    <n v="2023"/>
    <n v="1"/>
    <s v="Jan"/>
    <n v="1"/>
    <s v="Sun"/>
    <d v="2026-06-30T16:45:31"/>
    <n v="14"/>
    <s v="Afternoon"/>
    <n v="1"/>
    <x v="2"/>
    <x v="2"/>
    <n v="47"/>
    <x v="1"/>
    <x v="7"/>
    <s v="Serenity Green Tea Lg"/>
    <s v="3"/>
    <x v="4"/>
    <s v="Weekend"/>
  </r>
  <r>
    <x v="317"/>
    <d v="2023-01-01T00:00:00"/>
    <n v="2023"/>
    <n v="1"/>
    <s v="Jan"/>
    <n v="1"/>
    <s v="Sun"/>
    <d v="2026-06-30T16:46:09"/>
    <n v="14"/>
    <s v="Afternoon"/>
    <n v="1"/>
    <x v="1"/>
    <x v="1"/>
    <n v="48"/>
    <x v="1"/>
    <x v="6"/>
    <s v="English Breakfast Rg"/>
    <s v="2.5"/>
    <x v="11"/>
    <s v="Weekend"/>
  </r>
  <r>
    <x v="318"/>
    <d v="2023-01-01T00:00:00"/>
    <n v="2023"/>
    <n v="1"/>
    <s v="Jan"/>
    <n v="1"/>
    <s v="Sun"/>
    <d v="2026-06-30T16:47:29"/>
    <n v="14"/>
    <s v="Afternoon"/>
    <n v="1"/>
    <x v="1"/>
    <x v="1"/>
    <n v="24"/>
    <x v="0"/>
    <x v="3"/>
    <s v="Our Old Time Diner Blend Lg"/>
    <s v="3"/>
    <x v="4"/>
    <s v="Weekend"/>
  </r>
  <r>
    <x v="319"/>
    <d v="2023-01-01T00:00:00"/>
    <n v="2023"/>
    <n v="1"/>
    <s v="Jan"/>
    <n v="1"/>
    <s v="Sun"/>
    <d v="2026-06-30T16:47:29"/>
    <n v="14"/>
    <s v="Afternoon"/>
    <n v="1"/>
    <x v="1"/>
    <x v="1"/>
    <n v="75"/>
    <x v="3"/>
    <x v="10"/>
    <s v="Croissant"/>
    <s v="3.5"/>
    <x v="15"/>
    <s v="Weekend"/>
  </r>
  <r>
    <x v="320"/>
    <d v="2023-01-01T00:00:00"/>
    <n v="2023"/>
    <n v="1"/>
    <s v="Jan"/>
    <n v="1"/>
    <s v="Sun"/>
    <d v="2026-06-30T16:49:49"/>
    <n v="14"/>
    <s v="Afternoon"/>
    <n v="2"/>
    <x v="1"/>
    <x v="1"/>
    <n v="51"/>
    <x v="1"/>
    <x v="6"/>
    <s v="Earl Grey Lg"/>
    <s v="3"/>
    <x v="0"/>
    <s v="Weekend"/>
  </r>
  <r>
    <x v="321"/>
    <d v="2023-01-01T00:00:00"/>
    <n v="2023"/>
    <n v="1"/>
    <s v="Jan"/>
    <n v="1"/>
    <s v="Sun"/>
    <d v="2026-06-30T16:51:19"/>
    <n v="14"/>
    <s v="Afternoon"/>
    <n v="2"/>
    <x v="0"/>
    <x v="0"/>
    <n v="43"/>
    <x v="1"/>
    <x v="8"/>
    <s v="Lemon Grass Lg"/>
    <s v="3"/>
    <x v="0"/>
    <s v="Weekend"/>
  </r>
  <r>
    <x v="322"/>
    <d v="2023-01-01T00:00:00"/>
    <n v="2023"/>
    <n v="1"/>
    <s v="Jan"/>
    <n v="1"/>
    <s v="Sun"/>
    <d v="2026-06-30T16:55:34"/>
    <n v="14"/>
    <s v="Afternoon"/>
    <n v="2"/>
    <x v="2"/>
    <x v="2"/>
    <n v="34"/>
    <x v="0"/>
    <x v="12"/>
    <s v="Jamaican Coffee River Sm"/>
    <s v="2.45"/>
    <x v="25"/>
    <s v="Weekend"/>
  </r>
  <r>
    <x v="323"/>
    <d v="2023-01-01T00:00:00"/>
    <n v="2023"/>
    <n v="1"/>
    <s v="Jan"/>
    <n v="1"/>
    <s v="Sun"/>
    <d v="2026-06-30T16:58:07"/>
    <n v="14"/>
    <s v="Afternoon"/>
    <n v="2"/>
    <x v="1"/>
    <x v="1"/>
    <n v="30"/>
    <x v="0"/>
    <x v="0"/>
    <s v="Columbian Medium Roast Lg"/>
    <s v="3"/>
    <x v="0"/>
    <s v="Weekend"/>
  </r>
  <r>
    <x v="324"/>
    <d v="2023-01-01T00:00:00"/>
    <n v="2023"/>
    <n v="1"/>
    <s v="Jan"/>
    <n v="1"/>
    <s v="Sun"/>
    <d v="2026-06-30T16:58:35"/>
    <n v="14"/>
    <s v="Afternoon"/>
    <n v="1"/>
    <x v="2"/>
    <x v="2"/>
    <n v="43"/>
    <x v="1"/>
    <x v="8"/>
    <s v="Lemon Grass Lg"/>
    <s v="3"/>
    <x v="4"/>
    <s v="Weekend"/>
  </r>
  <r>
    <x v="325"/>
    <d v="2023-01-01T00:00:00"/>
    <n v="2023"/>
    <n v="1"/>
    <s v="Jan"/>
    <n v="1"/>
    <s v="Sun"/>
    <d v="2026-06-30T17:02:04"/>
    <n v="15"/>
    <s v="Afternoon"/>
    <n v="2"/>
    <x v="2"/>
    <x v="2"/>
    <n v="39"/>
    <x v="0"/>
    <x v="5"/>
    <s v="Latte Rg"/>
    <s v="4.25"/>
    <x v="21"/>
    <s v="Weekend"/>
  </r>
  <r>
    <x v="326"/>
    <d v="2023-01-01T00:00:00"/>
    <n v="2023"/>
    <n v="1"/>
    <s v="Jan"/>
    <n v="1"/>
    <s v="Sun"/>
    <d v="2026-06-30T17:02:28"/>
    <n v="15"/>
    <s v="Afternoon"/>
    <n v="1"/>
    <x v="1"/>
    <x v="1"/>
    <n v="38"/>
    <x v="0"/>
    <x v="5"/>
    <s v="Latte"/>
    <s v="3.75"/>
    <x v="10"/>
    <s v="Weekend"/>
  </r>
  <r>
    <x v="327"/>
    <d v="2023-01-01T00:00:00"/>
    <n v="2023"/>
    <n v="1"/>
    <s v="Jan"/>
    <n v="1"/>
    <s v="Sun"/>
    <d v="2026-06-30T17:06:27"/>
    <n v="15"/>
    <s v="Afternoon"/>
    <n v="2"/>
    <x v="0"/>
    <x v="0"/>
    <n v="25"/>
    <x v="0"/>
    <x v="11"/>
    <s v="Brazilian Sm"/>
    <s v="2.2"/>
    <x v="19"/>
    <s v="Weekend"/>
  </r>
  <r>
    <x v="328"/>
    <d v="2023-01-01T00:00:00"/>
    <n v="2023"/>
    <n v="1"/>
    <s v="Jan"/>
    <n v="1"/>
    <s v="Sun"/>
    <d v="2026-06-30T17:08:28"/>
    <n v="15"/>
    <s v="Afternoon"/>
    <n v="2"/>
    <x v="2"/>
    <x v="2"/>
    <n v="43"/>
    <x v="1"/>
    <x v="8"/>
    <s v="Lemon Grass Lg"/>
    <s v="3"/>
    <x v="0"/>
    <s v="Weekend"/>
  </r>
  <r>
    <x v="329"/>
    <d v="2023-01-01T00:00:00"/>
    <n v="2023"/>
    <n v="1"/>
    <s v="Jan"/>
    <n v="1"/>
    <s v="Sun"/>
    <d v="2026-06-30T17:09:37"/>
    <n v="15"/>
    <s v="Afternoon"/>
    <n v="1"/>
    <x v="2"/>
    <x v="2"/>
    <n v="22"/>
    <x v="0"/>
    <x v="3"/>
    <s v="Our Old Time Diner Blend Sm"/>
    <s v="2"/>
    <x v="3"/>
    <s v="Weekend"/>
  </r>
  <r>
    <x v="330"/>
    <d v="2023-01-01T00:00:00"/>
    <n v="2023"/>
    <n v="1"/>
    <s v="Jan"/>
    <n v="1"/>
    <s v="Sun"/>
    <d v="2026-06-30T17:09:54"/>
    <n v="15"/>
    <s v="Afternoon"/>
    <n v="1"/>
    <x v="1"/>
    <x v="1"/>
    <n v="61"/>
    <x v="2"/>
    <x v="2"/>
    <s v="Sustainably Grown Organic Lg"/>
    <s v="4.75"/>
    <x v="12"/>
    <s v="Weekend"/>
  </r>
  <r>
    <x v="331"/>
    <d v="2023-01-01T00:00:00"/>
    <n v="2023"/>
    <n v="1"/>
    <s v="Jan"/>
    <n v="1"/>
    <s v="Sun"/>
    <d v="2026-06-30T17:10:10"/>
    <n v="15"/>
    <s v="Afternoon"/>
    <n v="1"/>
    <x v="0"/>
    <x v="0"/>
    <n v="40"/>
    <x v="0"/>
    <x v="5"/>
    <s v="Cappuccino"/>
    <s v="3.75"/>
    <x v="10"/>
    <s v="Weekend"/>
  </r>
  <r>
    <x v="332"/>
    <d v="2023-01-01T00:00:00"/>
    <n v="2023"/>
    <n v="1"/>
    <s v="Jan"/>
    <n v="1"/>
    <s v="Sun"/>
    <d v="2026-06-30T17:10:10"/>
    <n v="15"/>
    <s v="Afternoon"/>
    <n v="1"/>
    <x v="0"/>
    <x v="0"/>
    <n v="75"/>
    <x v="3"/>
    <x v="10"/>
    <s v="Croissant"/>
    <s v="3.5"/>
    <x v="15"/>
    <s v="Weekend"/>
  </r>
  <r>
    <x v="333"/>
    <d v="2023-01-01T00:00:00"/>
    <n v="2023"/>
    <n v="1"/>
    <s v="Jan"/>
    <n v="1"/>
    <s v="Sun"/>
    <d v="2026-06-30T17:12:22"/>
    <n v="15"/>
    <s v="Afternoon"/>
    <n v="1"/>
    <x v="2"/>
    <x v="2"/>
    <n v="24"/>
    <x v="0"/>
    <x v="3"/>
    <s v="Our Old Time Diner Blend Lg"/>
    <s v="3"/>
    <x v="4"/>
    <s v="Weekend"/>
  </r>
  <r>
    <x v="334"/>
    <d v="2023-01-01T00:00:00"/>
    <n v="2023"/>
    <n v="1"/>
    <s v="Jan"/>
    <n v="1"/>
    <s v="Sun"/>
    <d v="2026-06-30T17:12:54"/>
    <n v="15"/>
    <s v="Afternoon"/>
    <n v="2"/>
    <x v="2"/>
    <x v="2"/>
    <n v="52"/>
    <x v="1"/>
    <x v="1"/>
    <s v="Traditional Blend Chai Rg"/>
    <s v="2.5"/>
    <x v="17"/>
    <s v="Weekend"/>
  </r>
  <r>
    <x v="335"/>
    <d v="2023-01-01T00:00:00"/>
    <n v="2023"/>
    <n v="1"/>
    <s v="Jan"/>
    <n v="1"/>
    <s v="Sun"/>
    <d v="2026-06-30T17:14:19"/>
    <n v="15"/>
    <s v="Afternoon"/>
    <n v="2"/>
    <x v="2"/>
    <x v="2"/>
    <n v="26"/>
    <x v="0"/>
    <x v="11"/>
    <s v="Brazilian Rg"/>
    <s v="3"/>
    <x v="0"/>
    <s v="Weekend"/>
  </r>
  <r>
    <x v="336"/>
    <d v="2023-01-01T00:00:00"/>
    <n v="2023"/>
    <n v="1"/>
    <s v="Jan"/>
    <n v="1"/>
    <s v="Sun"/>
    <d v="2026-06-30T17:16:37"/>
    <n v="15"/>
    <s v="Afternoon"/>
    <n v="2"/>
    <x v="0"/>
    <x v="0"/>
    <n v="38"/>
    <x v="0"/>
    <x v="5"/>
    <s v="Latte"/>
    <s v="3.75"/>
    <x v="16"/>
    <s v="Weekend"/>
  </r>
  <r>
    <x v="337"/>
    <d v="2023-01-01T00:00:00"/>
    <n v="2023"/>
    <n v="1"/>
    <s v="Jan"/>
    <n v="1"/>
    <s v="Sun"/>
    <d v="2026-06-30T17:18:56"/>
    <n v="15"/>
    <s v="Afternoon"/>
    <n v="1"/>
    <x v="2"/>
    <x v="2"/>
    <n v="61"/>
    <x v="2"/>
    <x v="2"/>
    <s v="Sustainably Grown Organic Lg"/>
    <s v="4.75"/>
    <x v="12"/>
    <s v="Weekend"/>
  </r>
  <r>
    <x v="338"/>
    <d v="2023-01-01T00:00:00"/>
    <n v="2023"/>
    <n v="1"/>
    <s v="Jan"/>
    <n v="1"/>
    <s v="Sun"/>
    <d v="2026-06-30T17:19:34"/>
    <n v="15"/>
    <s v="Afternoon"/>
    <n v="1"/>
    <x v="2"/>
    <x v="2"/>
    <n v="29"/>
    <x v="0"/>
    <x v="0"/>
    <s v="Columbian Medium Roast Rg"/>
    <s v="2.5"/>
    <x v="11"/>
    <s v="Weekend"/>
  </r>
  <r>
    <x v="339"/>
    <d v="2023-01-01T00:00:00"/>
    <n v="2023"/>
    <n v="1"/>
    <s v="Jan"/>
    <n v="1"/>
    <s v="Sun"/>
    <d v="2026-06-30T17:21:05"/>
    <n v="15"/>
    <s v="Afternoon"/>
    <n v="2"/>
    <x v="1"/>
    <x v="1"/>
    <n v="30"/>
    <x v="0"/>
    <x v="0"/>
    <s v="Columbian Medium Roast Lg"/>
    <s v="3"/>
    <x v="0"/>
    <s v="Weekend"/>
  </r>
  <r>
    <x v="340"/>
    <d v="2023-01-01T00:00:00"/>
    <n v="2023"/>
    <n v="1"/>
    <s v="Jan"/>
    <n v="1"/>
    <s v="Sun"/>
    <d v="2026-06-30T17:22:11"/>
    <n v="15"/>
    <s v="Afternoon"/>
    <n v="2"/>
    <x v="2"/>
    <x v="2"/>
    <n v="39"/>
    <x v="0"/>
    <x v="5"/>
    <s v="Latte Rg"/>
    <s v="4.25"/>
    <x v="21"/>
    <s v="Weekend"/>
  </r>
  <r>
    <x v="341"/>
    <d v="2023-01-01T00:00:00"/>
    <n v="2023"/>
    <n v="1"/>
    <s v="Jan"/>
    <n v="1"/>
    <s v="Sun"/>
    <d v="2026-06-30T17:24:01"/>
    <n v="15"/>
    <s v="Afternoon"/>
    <n v="1"/>
    <x v="1"/>
    <x v="1"/>
    <n v="26"/>
    <x v="0"/>
    <x v="11"/>
    <s v="Brazilian Rg"/>
    <s v="3"/>
    <x v="4"/>
    <s v="Weekend"/>
  </r>
  <r>
    <x v="342"/>
    <d v="2023-01-01T00:00:00"/>
    <n v="2023"/>
    <n v="1"/>
    <s v="Jan"/>
    <n v="1"/>
    <s v="Sun"/>
    <d v="2026-06-30T17:25:09"/>
    <n v="15"/>
    <s v="Afternoon"/>
    <n v="2"/>
    <x v="0"/>
    <x v="0"/>
    <n v="50"/>
    <x v="1"/>
    <x v="6"/>
    <s v="Earl Grey Rg"/>
    <s v="2.5"/>
    <x v="17"/>
    <s v="Weekend"/>
  </r>
  <r>
    <x v="343"/>
    <d v="2023-01-01T00:00:00"/>
    <n v="2023"/>
    <n v="1"/>
    <s v="Jan"/>
    <n v="1"/>
    <s v="Sun"/>
    <d v="2026-06-30T17:27:11"/>
    <n v="15"/>
    <s v="Afternoon"/>
    <n v="2"/>
    <x v="2"/>
    <x v="2"/>
    <n v="58"/>
    <x v="2"/>
    <x v="2"/>
    <s v="Dark chocolate Rg"/>
    <s v="3.5"/>
    <x v="7"/>
    <s v="Weekend"/>
  </r>
  <r>
    <x v="344"/>
    <d v="2023-01-01T00:00:00"/>
    <n v="2023"/>
    <n v="1"/>
    <s v="Jan"/>
    <n v="1"/>
    <s v="Sun"/>
    <d v="2026-06-30T17:28:29"/>
    <n v="15"/>
    <s v="Afternoon"/>
    <n v="1"/>
    <x v="2"/>
    <x v="2"/>
    <n v="58"/>
    <x v="2"/>
    <x v="2"/>
    <s v="Dark chocolate Rg"/>
    <s v="3.5"/>
    <x v="15"/>
    <s v="Weekend"/>
  </r>
  <r>
    <x v="345"/>
    <d v="2023-01-01T00:00:00"/>
    <n v="2023"/>
    <n v="1"/>
    <s v="Jan"/>
    <n v="1"/>
    <s v="Sun"/>
    <d v="2026-06-30T17:28:54"/>
    <n v="15"/>
    <s v="Afternoon"/>
    <n v="1"/>
    <x v="0"/>
    <x v="0"/>
    <n v="43"/>
    <x v="1"/>
    <x v="8"/>
    <s v="Lemon Grass Lg"/>
    <s v="3"/>
    <x v="4"/>
    <s v="Weekend"/>
  </r>
  <r>
    <x v="346"/>
    <d v="2023-01-01T00:00:00"/>
    <n v="2023"/>
    <n v="1"/>
    <s v="Jan"/>
    <n v="1"/>
    <s v="Sun"/>
    <d v="2026-06-30T17:29:24"/>
    <n v="15"/>
    <s v="Afternoon"/>
    <n v="1"/>
    <x v="2"/>
    <x v="2"/>
    <n v="57"/>
    <x v="1"/>
    <x v="1"/>
    <s v="Spicy Eye Opener Chai Lg"/>
    <s v="3.1"/>
    <x v="9"/>
    <s v="Weekend"/>
  </r>
  <r>
    <x v="347"/>
    <d v="2023-01-01T00:00:00"/>
    <n v="2023"/>
    <n v="1"/>
    <s v="Jan"/>
    <n v="1"/>
    <s v="Sun"/>
    <d v="2026-06-30T17:29:24"/>
    <n v="15"/>
    <s v="Afternoon"/>
    <n v="1"/>
    <x v="2"/>
    <x v="2"/>
    <n v="70"/>
    <x v="3"/>
    <x v="4"/>
    <s v="Cranberry Scone"/>
    <s v="3.25"/>
    <x v="14"/>
    <s v="Weekend"/>
  </r>
  <r>
    <x v="348"/>
    <d v="2023-01-01T00:00:00"/>
    <n v="2023"/>
    <n v="1"/>
    <s v="Jan"/>
    <n v="1"/>
    <s v="Sun"/>
    <d v="2026-06-30T17:30:16"/>
    <n v="15"/>
    <s v="Afternoon"/>
    <n v="1"/>
    <x v="2"/>
    <x v="2"/>
    <n v="43"/>
    <x v="1"/>
    <x v="8"/>
    <s v="Lemon Grass Lg"/>
    <s v="3"/>
    <x v="4"/>
    <s v="Weekend"/>
  </r>
  <r>
    <x v="349"/>
    <d v="2023-01-01T00:00:00"/>
    <n v="2023"/>
    <n v="1"/>
    <s v="Jan"/>
    <n v="1"/>
    <s v="Sun"/>
    <d v="2026-06-30T17:30:27"/>
    <n v="15"/>
    <s v="Afternoon"/>
    <n v="2"/>
    <x v="2"/>
    <x v="2"/>
    <n v="31"/>
    <x v="0"/>
    <x v="0"/>
    <s v="Ethiopia Sm"/>
    <s v="2.2"/>
    <x v="19"/>
    <s v="Weekend"/>
  </r>
  <r>
    <x v="350"/>
    <d v="2023-01-01T00:00:00"/>
    <n v="2023"/>
    <n v="1"/>
    <s v="Jan"/>
    <n v="1"/>
    <s v="Sun"/>
    <d v="2026-06-30T17:30:58"/>
    <n v="15"/>
    <s v="Afternoon"/>
    <n v="1"/>
    <x v="0"/>
    <x v="0"/>
    <n v="34"/>
    <x v="0"/>
    <x v="12"/>
    <s v="Jamaican Coffee River Sm"/>
    <s v="2.45"/>
    <x v="20"/>
    <s v="Weekend"/>
  </r>
  <r>
    <x v="351"/>
    <d v="2023-01-01T00:00:00"/>
    <n v="2023"/>
    <n v="1"/>
    <s v="Jan"/>
    <n v="1"/>
    <s v="Sun"/>
    <d v="2026-06-30T17:30:58"/>
    <n v="15"/>
    <s v="Afternoon"/>
    <n v="2"/>
    <x v="1"/>
    <x v="1"/>
    <n v="29"/>
    <x v="0"/>
    <x v="0"/>
    <s v="Columbian Medium Roast Rg"/>
    <s v="2.5"/>
    <x v="17"/>
    <s v="Weekend"/>
  </r>
  <r>
    <x v="352"/>
    <d v="2023-01-01T00:00:00"/>
    <n v="2023"/>
    <n v="1"/>
    <s v="Jan"/>
    <n v="1"/>
    <s v="Sun"/>
    <d v="2026-06-30T17:33:36"/>
    <n v="15"/>
    <s v="Afternoon"/>
    <n v="2"/>
    <x v="0"/>
    <x v="0"/>
    <n v="28"/>
    <x v="0"/>
    <x v="0"/>
    <s v="Columbian Medium Roast Sm"/>
    <s v="2"/>
    <x v="5"/>
    <s v="Weekend"/>
  </r>
  <r>
    <x v="353"/>
    <d v="2023-01-01T00:00:00"/>
    <n v="2023"/>
    <n v="1"/>
    <s v="Jan"/>
    <n v="1"/>
    <s v="Sun"/>
    <d v="2026-06-30T17:33:36"/>
    <n v="15"/>
    <s v="Afternoon"/>
    <n v="1"/>
    <x v="0"/>
    <x v="0"/>
    <n v="74"/>
    <x v="3"/>
    <x v="9"/>
    <s v="Ginger Biscotti"/>
    <s v="3.5"/>
    <x v="15"/>
    <s v="Weekend"/>
  </r>
  <r>
    <x v="354"/>
    <d v="2023-01-01T00:00:00"/>
    <n v="2023"/>
    <n v="1"/>
    <s v="Jan"/>
    <n v="1"/>
    <s v="Sun"/>
    <d v="2026-06-30T17:34:10"/>
    <n v="15"/>
    <s v="Afternoon"/>
    <n v="2"/>
    <x v="2"/>
    <x v="2"/>
    <n v="41"/>
    <x v="0"/>
    <x v="5"/>
    <s v="Cappuccino Lg"/>
    <s v="4.25"/>
    <x v="21"/>
    <s v="Weekend"/>
  </r>
  <r>
    <x v="355"/>
    <d v="2023-01-01T00:00:00"/>
    <n v="2023"/>
    <n v="1"/>
    <s v="Jan"/>
    <n v="1"/>
    <s v="Sun"/>
    <d v="2026-06-30T17:34:10"/>
    <n v="15"/>
    <s v="Afternoon"/>
    <n v="1"/>
    <x v="2"/>
    <x v="2"/>
    <n v="76"/>
    <x v="3"/>
    <x v="9"/>
    <s v="Chocolate Chip Biscotti"/>
    <s v="3.5"/>
    <x v="15"/>
    <s v="Weekend"/>
  </r>
  <r>
    <x v="356"/>
    <d v="2023-01-01T00:00:00"/>
    <n v="2023"/>
    <n v="1"/>
    <s v="Jan"/>
    <n v="1"/>
    <s v="Sun"/>
    <d v="2026-06-30T17:36:59"/>
    <n v="15"/>
    <s v="Afternoon"/>
    <n v="2"/>
    <x v="0"/>
    <x v="0"/>
    <n v="37"/>
    <x v="0"/>
    <x v="5"/>
    <s v="Espresso shot"/>
    <s v="3"/>
    <x v="0"/>
    <s v="Weekend"/>
  </r>
  <r>
    <x v="357"/>
    <d v="2023-01-01T00:00:00"/>
    <n v="2023"/>
    <n v="1"/>
    <s v="Jan"/>
    <n v="1"/>
    <s v="Sun"/>
    <d v="2026-06-30T17:39:44"/>
    <n v="15"/>
    <s v="Afternoon"/>
    <n v="1"/>
    <x v="1"/>
    <x v="1"/>
    <n v="44"/>
    <x v="1"/>
    <x v="8"/>
    <s v="Peppermint Rg"/>
    <s v="2.5"/>
    <x v="11"/>
    <s v="Weekend"/>
  </r>
  <r>
    <x v="358"/>
    <d v="2023-01-01T00:00:00"/>
    <n v="2023"/>
    <n v="1"/>
    <s v="Jan"/>
    <n v="1"/>
    <s v="Sun"/>
    <d v="2026-06-30T17:42:20"/>
    <n v="15"/>
    <s v="Afternoon"/>
    <n v="1"/>
    <x v="2"/>
    <x v="2"/>
    <n v="36"/>
    <x v="0"/>
    <x v="12"/>
    <s v="Jamaican Coffee River Lg"/>
    <s v="3.75"/>
    <x v="10"/>
    <s v="Weekend"/>
  </r>
  <r>
    <x v="359"/>
    <d v="2023-01-01T00:00:00"/>
    <n v="2023"/>
    <n v="1"/>
    <s v="Jan"/>
    <n v="1"/>
    <s v="Sun"/>
    <d v="2026-06-30T17:45:16"/>
    <n v="15"/>
    <s v="Afternoon"/>
    <n v="2"/>
    <x v="2"/>
    <x v="2"/>
    <n v="46"/>
    <x v="1"/>
    <x v="7"/>
    <s v="Serenity Green Tea Rg"/>
    <s v="2.5"/>
    <x v="17"/>
    <s v="Weekend"/>
  </r>
  <r>
    <x v="360"/>
    <d v="2023-01-01T00:00:00"/>
    <n v="2023"/>
    <n v="1"/>
    <s v="Jan"/>
    <n v="1"/>
    <s v="Sun"/>
    <d v="2026-06-30T17:46:34"/>
    <n v="15"/>
    <s v="Afternoon"/>
    <n v="2"/>
    <x v="0"/>
    <x v="0"/>
    <n v="40"/>
    <x v="0"/>
    <x v="5"/>
    <s v="Cappuccino"/>
    <s v="3.75"/>
    <x v="16"/>
    <s v="Weekend"/>
  </r>
  <r>
    <x v="361"/>
    <d v="2023-01-01T00:00:00"/>
    <n v="2023"/>
    <n v="1"/>
    <s v="Jan"/>
    <n v="1"/>
    <s v="Sun"/>
    <d v="2026-06-30T17:51:15"/>
    <n v="15"/>
    <s v="Afternoon"/>
    <n v="2"/>
    <x v="1"/>
    <x v="1"/>
    <n v="35"/>
    <x v="0"/>
    <x v="12"/>
    <s v="Jamaican Coffee River Rg"/>
    <s v="3.1"/>
    <x v="1"/>
    <s v="Weekend"/>
  </r>
  <r>
    <x v="362"/>
    <d v="2023-01-01T00:00:00"/>
    <n v="2023"/>
    <n v="1"/>
    <s v="Jan"/>
    <n v="1"/>
    <s v="Sun"/>
    <d v="2026-06-30T17:52:23"/>
    <n v="15"/>
    <s v="Afternoon"/>
    <n v="2"/>
    <x v="0"/>
    <x v="0"/>
    <n v="39"/>
    <x v="0"/>
    <x v="5"/>
    <s v="Latte Rg"/>
    <s v="4.25"/>
    <x v="21"/>
    <s v="Weekend"/>
  </r>
  <r>
    <x v="363"/>
    <d v="2023-01-01T00:00:00"/>
    <n v="2023"/>
    <n v="1"/>
    <s v="Jan"/>
    <n v="1"/>
    <s v="Sun"/>
    <d v="2026-06-30T17:52:23"/>
    <n v="15"/>
    <s v="Afternoon"/>
    <n v="1"/>
    <x v="0"/>
    <x v="0"/>
    <n v="69"/>
    <x v="3"/>
    <x v="9"/>
    <s v="Hazelnut Biscotti"/>
    <s v="3.25"/>
    <x v="14"/>
    <s v="Weekend"/>
  </r>
  <r>
    <x v="364"/>
    <d v="2023-01-01T00:00:00"/>
    <n v="2023"/>
    <n v="1"/>
    <s v="Jan"/>
    <n v="1"/>
    <s v="Sun"/>
    <d v="2026-06-30T17:53:55"/>
    <n v="15"/>
    <s v="Afternoon"/>
    <n v="2"/>
    <x v="0"/>
    <x v="0"/>
    <n v="33"/>
    <x v="0"/>
    <x v="0"/>
    <s v="Ethiopia Lg"/>
    <s v="3.5"/>
    <x v="7"/>
    <s v="Weekend"/>
  </r>
  <r>
    <x v="365"/>
    <d v="2023-01-01T00:00:00"/>
    <n v="2023"/>
    <n v="1"/>
    <s v="Jan"/>
    <n v="1"/>
    <s v="Sun"/>
    <d v="2026-06-30T17:55:45"/>
    <n v="15"/>
    <s v="Afternoon"/>
    <n v="1"/>
    <x v="1"/>
    <x v="1"/>
    <n v="24"/>
    <x v="0"/>
    <x v="3"/>
    <s v="Our Old Time Diner Blend Lg"/>
    <s v="3"/>
    <x v="4"/>
    <s v="Weekend"/>
  </r>
  <r>
    <x v="366"/>
    <d v="2023-01-01T00:00:00"/>
    <n v="2023"/>
    <n v="1"/>
    <s v="Jan"/>
    <n v="1"/>
    <s v="Sun"/>
    <d v="2026-06-30T17:55:50"/>
    <n v="15"/>
    <s v="Afternoon"/>
    <n v="2"/>
    <x v="2"/>
    <x v="2"/>
    <n v="31"/>
    <x v="0"/>
    <x v="0"/>
    <s v="Ethiopia Sm"/>
    <s v="2.2"/>
    <x v="19"/>
    <s v="Weekend"/>
  </r>
  <r>
    <x v="367"/>
    <d v="2023-01-01T00:00:00"/>
    <n v="2023"/>
    <n v="1"/>
    <s v="Jan"/>
    <n v="1"/>
    <s v="Sun"/>
    <d v="2026-06-30T17:58:55"/>
    <n v="15"/>
    <s v="Afternoon"/>
    <n v="1"/>
    <x v="1"/>
    <x v="1"/>
    <n v="48"/>
    <x v="1"/>
    <x v="6"/>
    <s v="English Breakfast Rg"/>
    <s v="2.5"/>
    <x v="11"/>
    <s v="Weekend"/>
  </r>
  <r>
    <x v="368"/>
    <d v="2023-01-01T00:00:00"/>
    <n v="2023"/>
    <n v="1"/>
    <s v="Jan"/>
    <n v="1"/>
    <s v="Sun"/>
    <d v="2026-06-30T18:00:23"/>
    <n v="16"/>
    <s v="Afternoon"/>
    <n v="1"/>
    <x v="1"/>
    <x v="1"/>
    <n v="38"/>
    <x v="0"/>
    <x v="5"/>
    <s v="Latte"/>
    <s v="3.75"/>
    <x v="10"/>
    <s v="Weekend"/>
  </r>
  <r>
    <x v="369"/>
    <d v="2023-01-01T00:00:00"/>
    <n v="2023"/>
    <n v="1"/>
    <s v="Jan"/>
    <n v="1"/>
    <s v="Sun"/>
    <d v="2026-06-30T18:02:07"/>
    <n v="16"/>
    <s v="Afternoon"/>
    <n v="1"/>
    <x v="1"/>
    <x v="1"/>
    <n v="41"/>
    <x v="0"/>
    <x v="5"/>
    <s v="Cappuccino Lg"/>
    <s v="4.25"/>
    <x v="6"/>
    <s v="Weekend"/>
  </r>
  <r>
    <x v="370"/>
    <d v="2023-01-01T00:00:00"/>
    <n v="2023"/>
    <n v="1"/>
    <s v="Jan"/>
    <n v="1"/>
    <s v="Sun"/>
    <d v="2026-06-30T18:03:30"/>
    <n v="16"/>
    <s v="Afternoon"/>
    <n v="2"/>
    <x v="2"/>
    <x v="2"/>
    <n v="34"/>
    <x v="0"/>
    <x v="12"/>
    <s v="Jamaican Coffee River Sm"/>
    <s v="2.45"/>
    <x v="25"/>
    <s v="Weekend"/>
  </r>
  <r>
    <x v="371"/>
    <d v="2023-01-01T00:00:00"/>
    <n v="2023"/>
    <n v="1"/>
    <s v="Jan"/>
    <n v="1"/>
    <s v="Sun"/>
    <d v="2026-06-30T18:03:54"/>
    <n v="16"/>
    <s v="Afternoon"/>
    <n v="1"/>
    <x v="1"/>
    <x v="1"/>
    <n v="46"/>
    <x v="1"/>
    <x v="7"/>
    <s v="Serenity Green Tea Rg"/>
    <s v="2.5"/>
    <x v="11"/>
    <s v="Weekend"/>
  </r>
  <r>
    <x v="372"/>
    <d v="2023-01-01T00:00:00"/>
    <n v="2023"/>
    <n v="1"/>
    <s v="Jan"/>
    <n v="1"/>
    <s v="Sun"/>
    <d v="2026-06-30T18:04:10"/>
    <n v="16"/>
    <s v="Afternoon"/>
    <n v="2"/>
    <x v="2"/>
    <x v="2"/>
    <n v="42"/>
    <x v="1"/>
    <x v="8"/>
    <s v="Lemon Grass Rg"/>
    <s v="2.5"/>
    <x v="17"/>
    <s v="Weekend"/>
  </r>
  <r>
    <x v="373"/>
    <d v="2023-01-01T00:00:00"/>
    <n v="2023"/>
    <n v="1"/>
    <s v="Jan"/>
    <n v="1"/>
    <s v="Sun"/>
    <d v="2026-06-30T18:06:04"/>
    <n v="16"/>
    <s v="Afternoon"/>
    <n v="2"/>
    <x v="2"/>
    <x v="2"/>
    <n v="23"/>
    <x v="0"/>
    <x v="3"/>
    <s v="Our Old Time Diner Blend Rg"/>
    <s v="2.5"/>
    <x v="17"/>
    <s v="Weekend"/>
  </r>
  <r>
    <x v="374"/>
    <d v="2023-01-01T00:00:00"/>
    <n v="2023"/>
    <n v="1"/>
    <s v="Jan"/>
    <n v="1"/>
    <s v="Sun"/>
    <d v="2026-06-30T18:07:20"/>
    <n v="16"/>
    <s v="Afternoon"/>
    <n v="2"/>
    <x v="2"/>
    <x v="2"/>
    <n v="23"/>
    <x v="0"/>
    <x v="3"/>
    <s v="Our Old Time Diner Blend Rg"/>
    <s v="2.5"/>
    <x v="17"/>
    <s v="Weekend"/>
  </r>
  <r>
    <x v="375"/>
    <d v="2023-01-01T00:00:00"/>
    <n v="2023"/>
    <n v="1"/>
    <s v="Jan"/>
    <n v="1"/>
    <s v="Sun"/>
    <d v="2026-06-30T18:08:59"/>
    <n v="16"/>
    <s v="Afternoon"/>
    <n v="2"/>
    <x v="2"/>
    <x v="2"/>
    <n v="42"/>
    <x v="1"/>
    <x v="8"/>
    <s v="Lemon Grass Rg"/>
    <s v="2.5"/>
    <x v="17"/>
    <s v="Weekend"/>
  </r>
  <r>
    <x v="376"/>
    <d v="2023-01-01T00:00:00"/>
    <n v="2023"/>
    <n v="1"/>
    <s v="Jan"/>
    <n v="1"/>
    <s v="Sun"/>
    <d v="2026-06-30T18:10:37"/>
    <n v="16"/>
    <s v="Afternoon"/>
    <n v="2"/>
    <x v="2"/>
    <x v="2"/>
    <n v="42"/>
    <x v="1"/>
    <x v="8"/>
    <s v="Lemon Grass Rg"/>
    <s v="2.5"/>
    <x v="17"/>
    <s v="Weekend"/>
  </r>
  <r>
    <x v="377"/>
    <d v="2023-01-01T00:00:00"/>
    <n v="2023"/>
    <n v="1"/>
    <s v="Jan"/>
    <n v="1"/>
    <s v="Sun"/>
    <d v="2026-06-30T18:12:00"/>
    <n v="16"/>
    <s v="Afternoon"/>
    <n v="1"/>
    <x v="1"/>
    <x v="1"/>
    <n v="87"/>
    <x v="0"/>
    <x v="5"/>
    <s v="Ouro Brasileiro shot"/>
    <s v="3"/>
    <x v="4"/>
    <s v="Weekend"/>
  </r>
  <r>
    <x v="378"/>
    <d v="2023-01-01T00:00:00"/>
    <n v="2023"/>
    <n v="1"/>
    <s v="Jan"/>
    <n v="1"/>
    <s v="Sun"/>
    <d v="2026-06-30T18:17:06"/>
    <n v="16"/>
    <s v="Afternoon"/>
    <n v="2"/>
    <x v="2"/>
    <x v="2"/>
    <n v="34"/>
    <x v="0"/>
    <x v="12"/>
    <s v="Jamaican Coffee River Sm"/>
    <s v="2.45"/>
    <x v="25"/>
    <s v="Weekend"/>
  </r>
  <r>
    <x v="379"/>
    <d v="2023-01-01T00:00:00"/>
    <n v="2023"/>
    <n v="1"/>
    <s v="Jan"/>
    <n v="1"/>
    <s v="Sun"/>
    <d v="2026-06-30T18:17:52"/>
    <n v="16"/>
    <s v="Afternoon"/>
    <n v="2"/>
    <x v="2"/>
    <x v="2"/>
    <n v="29"/>
    <x v="0"/>
    <x v="0"/>
    <s v="Columbian Medium Roast Rg"/>
    <s v="2.5"/>
    <x v="17"/>
    <s v="Weekend"/>
  </r>
  <r>
    <x v="380"/>
    <d v="2023-01-01T00:00:00"/>
    <n v="2023"/>
    <n v="1"/>
    <s v="Jan"/>
    <n v="1"/>
    <s v="Sun"/>
    <d v="2026-06-30T18:19:00"/>
    <n v="16"/>
    <s v="Afternoon"/>
    <n v="2"/>
    <x v="1"/>
    <x v="1"/>
    <n v="29"/>
    <x v="0"/>
    <x v="0"/>
    <s v="Columbian Medium Roast Rg"/>
    <s v="2.5"/>
    <x v="17"/>
    <s v="Weekend"/>
  </r>
  <r>
    <x v="381"/>
    <d v="2023-01-01T00:00:00"/>
    <n v="2023"/>
    <n v="1"/>
    <s v="Jan"/>
    <n v="1"/>
    <s v="Sun"/>
    <d v="2026-06-30T18:19:17"/>
    <n v="16"/>
    <s v="Afternoon"/>
    <n v="1"/>
    <x v="2"/>
    <x v="2"/>
    <n v="56"/>
    <x v="1"/>
    <x v="1"/>
    <s v="Spicy Eye Opener Chai Rg"/>
    <s v="2.55"/>
    <x v="8"/>
    <s v="Weekend"/>
  </r>
  <r>
    <x v="382"/>
    <d v="2023-01-01T00:00:00"/>
    <n v="2023"/>
    <n v="1"/>
    <s v="Jan"/>
    <n v="1"/>
    <s v="Sun"/>
    <d v="2026-06-30T18:19:26"/>
    <n v="16"/>
    <s v="Afternoon"/>
    <n v="2"/>
    <x v="0"/>
    <x v="0"/>
    <n v="40"/>
    <x v="0"/>
    <x v="5"/>
    <s v="Cappuccino"/>
    <s v="3.75"/>
    <x v="16"/>
    <s v="Weekend"/>
  </r>
  <r>
    <x v="383"/>
    <d v="2023-01-01T00:00:00"/>
    <n v="2023"/>
    <n v="1"/>
    <s v="Jan"/>
    <n v="1"/>
    <s v="Sun"/>
    <d v="2026-06-30T18:20:07"/>
    <n v="16"/>
    <s v="Afternoon"/>
    <n v="2"/>
    <x v="2"/>
    <x v="2"/>
    <n v="36"/>
    <x v="0"/>
    <x v="12"/>
    <s v="Jamaican Coffee River Lg"/>
    <s v="3.75"/>
    <x v="16"/>
    <s v="Weekend"/>
  </r>
  <r>
    <x v="384"/>
    <d v="2023-01-01T00:00:00"/>
    <n v="2023"/>
    <n v="1"/>
    <s v="Jan"/>
    <n v="1"/>
    <s v="Sun"/>
    <d v="2026-06-30T18:22:07"/>
    <n v="16"/>
    <s v="Afternoon"/>
    <n v="1"/>
    <x v="0"/>
    <x v="0"/>
    <n v="22"/>
    <x v="0"/>
    <x v="3"/>
    <s v="Our Old Time Diner Blend Sm"/>
    <s v="2"/>
    <x v="3"/>
    <s v="Weekend"/>
  </r>
  <r>
    <x v="385"/>
    <d v="2023-01-01T00:00:00"/>
    <n v="2023"/>
    <n v="1"/>
    <s v="Jan"/>
    <n v="1"/>
    <s v="Sun"/>
    <d v="2026-06-30T18:22:38"/>
    <n v="16"/>
    <s v="Afternoon"/>
    <n v="1"/>
    <x v="2"/>
    <x v="2"/>
    <n v="22"/>
    <x v="0"/>
    <x v="3"/>
    <s v="Our Old Time Diner Blend Sm"/>
    <s v="2"/>
    <x v="3"/>
    <s v="Weekend"/>
  </r>
  <r>
    <x v="386"/>
    <d v="2023-01-01T00:00:00"/>
    <n v="2023"/>
    <n v="1"/>
    <s v="Jan"/>
    <n v="1"/>
    <s v="Sun"/>
    <d v="2026-06-30T18:25:28"/>
    <n v="16"/>
    <s v="Afternoon"/>
    <n v="1"/>
    <x v="2"/>
    <x v="2"/>
    <n v="44"/>
    <x v="1"/>
    <x v="8"/>
    <s v="Peppermint Rg"/>
    <s v="2.5"/>
    <x v="11"/>
    <s v="Weekend"/>
  </r>
  <r>
    <x v="387"/>
    <d v="2023-01-01T00:00:00"/>
    <n v="2023"/>
    <n v="1"/>
    <s v="Jan"/>
    <n v="1"/>
    <s v="Sun"/>
    <d v="2026-06-30T18:27:42"/>
    <n v="16"/>
    <s v="Afternoon"/>
    <n v="1"/>
    <x v="0"/>
    <x v="0"/>
    <n v="56"/>
    <x v="1"/>
    <x v="1"/>
    <s v="Spicy Eye Opener Chai Rg"/>
    <s v="2.55"/>
    <x v="8"/>
    <s v="Weekend"/>
  </r>
  <r>
    <x v="388"/>
    <d v="2023-01-01T00:00:00"/>
    <n v="2023"/>
    <n v="1"/>
    <s v="Jan"/>
    <n v="1"/>
    <s v="Sun"/>
    <d v="2026-06-30T18:28:00"/>
    <n v="16"/>
    <s v="Afternoon"/>
    <n v="2"/>
    <x v="1"/>
    <x v="1"/>
    <n v="53"/>
    <x v="1"/>
    <x v="1"/>
    <s v="Traditional Blend Chai Lg"/>
    <s v="3"/>
    <x v="0"/>
    <s v="Weekend"/>
  </r>
  <r>
    <x v="389"/>
    <d v="2023-01-01T00:00:00"/>
    <n v="2023"/>
    <n v="1"/>
    <s v="Jan"/>
    <n v="1"/>
    <s v="Sun"/>
    <d v="2026-06-30T18:28:57"/>
    <n v="16"/>
    <s v="Afternoon"/>
    <n v="1"/>
    <x v="0"/>
    <x v="0"/>
    <n v="42"/>
    <x v="1"/>
    <x v="8"/>
    <s v="Lemon Grass Rg"/>
    <s v="2.5"/>
    <x v="11"/>
    <s v="Weekend"/>
  </r>
  <r>
    <x v="390"/>
    <d v="2023-01-01T00:00:00"/>
    <n v="2023"/>
    <n v="1"/>
    <s v="Jan"/>
    <n v="1"/>
    <s v="Sun"/>
    <d v="2026-06-30T18:29:36"/>
    <n v="16"/>
    <s v="Afternoon"/>
    <n v="2"/>
    <x v="2"/>
    <x v="2"/>
    <n v="27"/>
    <x v="0"/>
    <x v="11"/>
    <s v="Brazilian Lg"/>
    <s v="3.5"/>
    <x v="7"/>
    <s v="Weekend"/>
  </r>
  <r>
    <x v="391"/>
    <d v="2023-01-01T00:00:00"/>
    <n v="2023"/>
    <n v="1"/>
    <s v="Jan"/>
    <n v="1"/>
    <s v="Sun"/>
    <d v="2026-06-30T18:30:12"/>
    <n v="16"/>
    <s v="Afternoon"/>
    <n v="1"/>
    <x v="2"/>
    <x v="2"/>
    <n v="40"/>
    <x v="0"/>
    <x v="5"/>
    <s v="Cappuccino"/>
    <s v="3.75"/>
    <x v="10"/>
    <s v="Weekend"/>
  </r>
  <r>
    <x v="392"/>
    <d v="2023-01-01T00:00:00"/>
    <n v="2023"/>
    <n v="1"/>
    <s v="Jan"/>
    <n v="1"/>
    <s v="Sun"/>
    <d v="2026-06-30T18:33:35"/>
    <n v="16"/>
    <s v="Afternoon"/>
    <n v="1"/>
    <x v="2"/>
    <x v="2"/>
    <n v="35"/>
    <x v="0"/>
    <x v="12"/>
    <s v="Jamaican Coffee River Rg"/>
    <s v="3.1"/>
    <x v="9"/>
    <s v="Weekend"/>
  </r>
  <r>
    <x v="393"/>
    <d v="2023-01-01T00:00:00"/>
    <n v="2023"/>
    <n v="1"/>
    <s v="Jan"/>
    <n v="1"/>
    <s v="Sun"/>
    <d v="2026-06-30T18:35:11"/>
    <n v="16"/>
    <s v="Afternoon"/>
    <n v="1"/>
    <x v="0"/>
    <x v="0"/>
    <n v="28"/>
    <x v="0"/>
    <x v="0"/>
    <s v="Columbian Medium Roast Sm"/>
    <s v="2"/>
    <x v="3"/>
    <s v="Weekend"/>
  </r>
  <r>
    <x v="394"/>
    <d v="2023-01-01T00:00:00"/>
    <n v="2023"/>
    <n v="1"/>
    <s v="Jan"/>
    <n v="1"/>
    <s v="Sun"/>
    <d v="2026-06-30T18:39:24"/>
    <n v="16"/>
    <s v="Afternoon"/>
    <n v="1"/>
    <x v="2"/>
    <x v="2"/>
    <n v="36"/>
    <x v="0"/>
    <x v="12"/>
    <s v="Jamaican Coffee River Lg"/>
    <s v="3.75"/>
    <x v="10"/>
    <s v="Weekend"/>
  </r>
  <r>
    <x v="395"/>
    <d v="2023-01-01T00:00:00"/>
    <n v="2023"/>
    <n v="1"/>
    <s v="Jan"/>
    <n v="1"/>
    <s v="Sun"/>
    <d v="2026-06-30T18:39:27"/>
    <n v="16"/>
    <s v="Afternoon"/>
    <n v="1"/>
    <x v="1"/>
    <x v="1"/>
    <n v="58"/>
    <x v="2"/>
    <x v="2"/>
    <s v="Dark chocolate Rg"/>
    <s v="3.5"/>
    <x v="15"/>
    <s v="Weekend"/>
  </r>
  <r>
    <x v="396"/>
    <d v="2023-01-01T00:00:00"/>
    <n v="2023"/>
    <n v="1"/>
    <s v="Jan"/>
    <n v="1"/>
    <s v="Sun"/>
    <d v="2026-06-30T18:40:18"/>
    <n v="16"/>
    <s v="Afternoon"/>
    <n v="1"/>
    <x v="2"/>
    <x v="2"/>
    <n v="33"/>
    <x v="0"/>
    <x v="0"/>
    <s v="Ethiopia Lg"/>
    <s v="3.5"/>
    <x v="15"/>
    <s v="Weekend"/>
  </r>
  <r>
    <x v="397"/>
    <d v="2023-01-01T00:00:00"/>
    <n v="2023"/>
    <n v="1"/>
    <s v="Jan"/>
    <n v="1"/>
    <s v="Sun"/>
    <d v="2026-06-30T18:40:19"/>
    <n v="16"/>
    <s v="Afternoon"/>
    <n v="1"/>
    <x v="0"/>
    <x v="0"/>
    <n v="46"/>
    <x v="1"/>
    <x v="7"/>
    <s v="Serenity Green Tea Rg"/>
    <s v="2.5"/>
    <x v="11"/>
    <s v="Weekend"/>
  </r>
  <r>
    <x v="398"/>
    <d v="2023-01-01T00:00:00"/>
    <n v="2023"/>
    <n v="1"/>
    <s v="Jan"/>
    <n v="1"/>
    <s v="Sun"/>
    <d v="2026-06-30T18:41:51"/>
    <n v="16"/>
    <s v="Afternoon"/>
    <n v="1"/>
    <x v="0"/>
    <x v="0"/>
    <n v="23"/>
    <x v="0"/>
    <x v="3"/>
    <s v="Our Old Time Diner Blend Rg"/>
    <s v="2.5"/>
    <x v="11"/>
    <s v="Weekend"/>
  </r>
  <r>
    <x v="399"/>
    <d v="2023-01-01T00:00:00"/>
    <n v="2023"/>
    <n v="1"/>
    <s v="Jan"/>
    <n v="1"/>
    <s v="Sun"/>
    <d v="2026-06-30T18:43:33"/>
    <n v="16"/>
    <s v="Afternoon"/>
    <n v="2"/>
    <x v="1"/>
    <x v="1"/>
    <n v="50"/>
    <x v="1"/>
    <x v="6"/>
    <s v="Earl Grey Rg"/>
    <s v="2.5"/>
    <x v="17"/>
    <s v="Weekend"/>
  </r>
  <r>
    <x v="400"/>
    <d v="2023-01-01T00:00:00"/>
    <n v="2023"/>
    <n v="1"/>
    <s v="Jan"/>
    <n v="1"/>
    <s v="Sun"/>
    <d v="2026-06-30T18:44:46"/>
    <n v="16"/>
    <s v="Afternoon"/>
    <n v="2"/>
    <x v="2"/>
    <x v="2"/>
    <n v="54"/>
    <x v="1"/>
    <x v="1"/>
    <s v="Morning Sunrise Chai Rg"/>
    <s v="2.5"/>
    <x v="17"/>
    <s v="Weekend"/>
  </r>
  <r>
    <x v="401"/>
    <d v="2023-01-01T00:00:00"/>
    <n v="2023"/>
    <n v="1"/>
    <s v="Jan"/>
    <n v="1"/>
    <s v="Sun"/>
    <d v="2026-06-30T18:47:05"/>
    <n v="16"/>
    <s v="Afternoon"/>
    <n v="1"/>
    <x v="0"/>
    <x v="0"/>
    <n v="44"/>
    <x v="1"/>
    <x v="8"/>
    <s v="Peppermint Rg"/>
    <s v="2.5"/>
    <x v="11"/>
    <s v="Weekend"/>
  </r>
  <r>
    <x v="402"/>
    <d v="2023-01-01T00:00:00"/>
    <n v="2023"/>
    <n v="1"/>
    <s v="Jan"/>
    <n v="1"/>
    <s v="Sun"/>
    <d v="2026-06-30T18:47:05"/>
    <n v="16"/>
    <s v="Afternoon"/>
    <n v="1"/>
    <x v="0"/>
    <x v="0"/>
    <n v="72"/>
    <x v="3"/>
    <x v="4"/>
    <s v="Ginger Scone"/>
    <s v="3.25"/>
    <x v="14"/>
    <s v="Weekend"/>
  </r>
  <r>
    <x v="403"/>
    <d v="2023-01-01T00:00:00"/>
    <n v="2023"/>
    <n v="1"/>
    <s v="Jan"/>
    <n v="1"/>
    <s v="Sun"/>
    <d v="2026-06-30T18:48:31"/>
    <n v="16"/>
    <s v="Afternoon"/>
    <n v="2"/>
    <x v="0"/>
    <x v="0"/>
    <n v="44"/>
    <x v="1"/>
    <x v="8"/>
    <s v="Peppermint Rg"/>
    <s v="2.5"/>
    <x v="17"/>
    <s v="Weekend"/>
  </r>
  <r>
    <x v="404"/>
    <d v="2023-01-01T00:00:00"/>
    <n v="2023"/>
    <n v="1"/>
    <s v="Jan"/>
    <n v="1"/>
    <s v="Sun"/>
    <d v="2026-06-30T18:49:19"/>
    <n v="16"/>
    <s v="Afternoon"/>
    <n v="1"/>
    <x v="0"/>
    <x v="0"/>
    <n v="53"/>
    <x v="1"/>
    <x v="1"/>
    <s v="Traditional Blend Chai Lg"/>
    <s v="3"/>
    <x v="4"/>
    <s v="Weekend"/>
  </r>
  <r>
    <x v="405"/>
    <d v="2023-01-01T00:00:00"/>
    <n v="2023"/>
    <n v="1"/>
    <s v="Jan"/>
    <n v="1"/>
    <s v="Sun"/>
    <d v="2026-06-30T18:49:19"/>
    <n v="16"/>
    <s v="Afternoon"/>
    <n v="1"/>
    <x v="0"/>
    <x v="0"/>
    <n v="71"/>
    <x v="3"/>
    <x v="10"/>
    <s v="Chocolate Croissant"/>
    <s v="3.75"/>
    <x v="10"/>
    <s v="Weekend"/>
  </r>
  <r>
    <x v="406"/>
    <d v="2023-01-01T00:00:00"/>
    <n v="2023"/>
    <n v="1"/>
    <s v="Jan"/>
    <n v="1"/>
    <s v="Sun"/>
    <d v="2026-06-30T18:49:38"/>
    <n v="16"/>
    <s v="Afternoon"/>
    <n v="1"/>
    <x v="2"/>
    <x v="2"/>
    <n v="52"/>
    <x v="1"/>
    <x v="1"/>
    <s v="Traditional Blend Chai Rg"/>
    <s v="2.5"/>
    <x v="11"/>
    <s v="Weekend"/>
  </r>
  <r>
    <x v="407"/>
    <d v="2023-01-01T00:00:00"/>
    <n v="2023"/>
    <n v="1"/>
    <s v="Jan"/>
    <n v="1"/>
    <s v="Sun"/>
    <d v="2026-06-30T18:52:13"/>
    <n v="16"/>
    <s v="Afternoon"/>
    <n v="2"/>
    <x v="1"/>
    <x v="1"/>
    <n v="42"/>
    <x v="1"/>
    <x v="8"/>
    <s v="Lemon Grass Rg"/>
    <s v="2.5"/>
    <x v="17"/>
    <s v="Weekend"/>
  </r>
  <r>
    <x v="408"/>
    <d v="2023-01-01T00:00:00"/>
    <n v="2023"/>
    <n v="1"/>
    <s v="Jan"/>
    <n v="1"/>
    <s v="Sun"/>
    <d v="2026-06-30T18:52:51"/>
    <n v="16"/>
    <s v="Afternoon"/>
    <n v="1"/>
    <x v="0"/>
    <x v="0"/>
    <n v="50"/>
    <x v="1"/>
    <x v="6"/>
    <s v="Earl Grey Rg"/>
    <s v="2.5"/>
    <x v="11"/>
    <s v="Weekend"/>
  </r>
  <r>
    <x v="409"/>
    <d v="2023-01-01T00:00:00"/>
    <n v="2023"/>
    <n v="1"/>
    <s v="Jan"/>
    <n v="1"/>
    <s v="Sun"/>
    <d v="2026-06-30T18:56:48"/>
    <n v="16"/>
    <s v="Afternoon"/>
    <n v="1"/>
    <x v="2"/>
    <x v="2"/>
    <n v="28"/>
    <x v="0"/>
    <x v="0"/>
    <s v="Columbian Medium Roast Sm"/>
    <s v="2"/>
    <x v="3"/>
    <s v="Weekend"/>
  </r>
  <r>
    <x v="410"/>
    <d v="2023-01-01T00:00:00"/>
    <n v="2023"/>
    <n v="1"/>
    <s v="Jan"/>
    <n v="1"/>
    <s v="Sun"/>
    <d v="2026-06-30T18:58:42"/>
    <n v="16"/>
    <s v="Afternoon"/>
    <n v="1"/>
    <x v="2"/>
    <x v="2"/>
    <n v="58"/>
    <x v="2"/>
    <x v="2"/>
    <s v="Dark chocolate Rg"/>
    <s v="3.5"/>
    <x v="15"/>
    <s v="Weekend"/>
  </r>
  <r>
    <x v="411"/>
    <d v="2023-01-01T00:00:00"/>
    <n v="2023"/>
    <n v="1"/>
    <s v="Jan"/>
    <n v="1"/>
    <s v="Sun"/>
    <d v="2026-06-30T18:58:42"/>
    <n v="16"/>
    <s v="Afternoon"/>
    <n v="1"/>
    <x v="2"/>
    <x v="2"/>
    <n v="69"/>
    <x v="3"/>
    <x v="9"/>
    <s v="Hazelnut Biscotti"/>
    <s v="3.25"/>
    <x v="14"/>
    <s v="Weekend"/>
  </r>
  <r>
    <x v="412"/>
    <d v="2023-01-01T00:00:00"/>
    <n v="2023"/>
    <n v="1"/>
    <s v="Jan"/>
    <n v="1"/>
    <s v="Sun"/>
    <d v="2026-06-30T19:01:03"/>
    <n v="17"/>
    <s v="Evening"/>
    <n v="2"/>
    <x v="0"/>
    <x v="0"/>
    <n v="36"/>
    <x v="0"/>
    <x v="12"/>
    <s v="Jamaican Coffee River Lg"/>
    <s v="3.75"/>
    <x v="16"/>
    <s v="Weekend"/>
  </r>
  <r>
    <x v="413"/>
    <d v="2023-01-01T00:00:00"/>
    <n v="2023"/>
    <n v="1"/>
    <s v="Jan"/>
    <n v="1"/>
    <s v="Sun"/>
    <d v="2026-06-30T19:01:31"/>
    <n v="17"/>
    <s v="Evening"/>
    <n v="2"/>
    <x v="1"/>
    <x v="1"/>
    <n v="50"/>
    <x v="1"/>
    <x v="6"/>
    <s v="Earl Grey Rg"/>
    <s v="2.5"/>
    <x v="17"/>
    <s v="Weekend"/>
  </r>
  <r>
    <x v="414"/>
    <d v="2023-01-01T00:00:00"/>
    <n v="2023"/>
    <n v="1"/>
    <s v="Jan"/>
    <n v="1"/>
    <s v="Sun"/>
    <d v="2026-06-30T19:03:21"/>
    <n v="17"/>
    <s v="Evening"/>
    <n v="1"/>
    <x v="2"/>
    <x v="2"/>
    <n v="50"/>
    <x v="1"/>
    <x v="6"/>
    <s v="Earl Grey Rg"/>
    <s v="2.5"/>
    <x v="11"/>
    <s v="Weekend"/>
  </r>
  <r>
    <x v="415"/>
    <d v="2023-01-01T00:00:00"/>
    <n v="2023"/>
    <n v="1"/>
    <s v="Jan"/>
    <n v="1"/>
    <s v="Sun"/>
    <d v="2026-06-30T19:05:44"/>
    <n v="17"/>
    <s v="Evening"/>
    <n v="2"/>
    <x v="2"/>
    <x v="2"/>
    <n v="36"/>
    <x v="0"/>
    <x v="12"/>
    <s v="Jamaican Coffee River Lg"/>
    <s v="3.75"/>
    <x v="16"/>
    <s v="Weekend"/>
  </r>
  <r>
    <x v="416"/>
    <d v="2023-01-01T00:00:00"/>
    <n v="2023"/>
    <n v="1"/>
    <s v="Jan"/>
    <n v="1"/>
    <s v="Sun"/>
    <d v="2026-06-30T19:09:18"/>
    <n v="17"/>
    <s v="Evening"/>
    <n v="2"/>
    <x v="1"/>
    <x v="1"/>
    <n v="47"/>
    <x v="1"/>
    <x v="7"/>
    <s v="Serenity Green Tea Lg"/>
    <s v="3"/>
    <x v="0"/>
    <s v="Weekend"/>
  </r>
  <r>
    <x v="417"/>
    <d v="2023-01-01T00:00:00"/>
    <n v="2023"/>
    <n v="1"/>
    <s v="Jan"/>
    <n v="1"/>
    <s v="Sun"/>
    <d v="2026-06-30T19:10:34"/>
    <n v="17"/>
    <s v="Evening"/>
    <n v="1"/>
    <x v="2"/>
    <x v="2"/>
    <n v="27"/>
    <x v="0"/>
    <x v="11"/>
    <s v="Brazilian Lg"/>
    <s v="3.5"/>
    <x v="15"/>
    <s v="Weekend"/>
  </r>
  <r>
    <x v="418"/>
    <d v="2023-01-01T00:00:00"/>
    <n v="2023"/>
    <n v="1"/>
    <s v="Jan"/>
    <n v="1"/>
    <s v="Sun"/>
    <d v="2026-06-30T19:10:35"/>
    <n v="17"/>
    <s v="Evening"/>
    <n v="1"/>
    <x v="2"/>
    <x v="2"/>
    <n v="59"/>
    <x v="2"/>
    <x v="2"/>
    <s v="Dark chocolate Lg"/>
    <s v="4.5"/>
    <x v="18"/>
    <s v="Weekend"/>
  </r>
  <r>
    <x v="419"/>
    <d v="2023-01-01T00:00:00"/>
    <n v="2023"/>
    <n v="1"/>
    <s v="Jan"/>
    <n v="1"/>
    <s v="Sun"/>
    <d v="2026-06-30T19:11:58"/>
    <n v="17"/>
    <s v="Evening"/>
    <n v="2"/>
    <x v="1"/>
    <x v="1"/>
    <n v="36"/>
    <x v="0"/>
    <x v="12"/>
    <s v="Jamaican Coffee River Lg"/>
    <s v="3.75"/>
    <x v="16"/>
    <s v="Weekend"/>
  </r>
  <r>
    <x v="420"/>
    <d v="2023-01-01T00:00:00"/>
    <n v="2023"/>
    <n v="1"/>
    <s v="Jan"/>
    <n v="1"/>
    <s v="Sun"/>
    <d v="2026-06-30T19:13:17"/>
    <n v="17"/>
    <s v="Evening"/>
    <n v="2"/>
    <x v="0"/>
    <x v="0"/>
    <n v="31"/>
    <x v="0"/>
    <x v="0"/>
    <s v="Ethiopia Sm"/>
    <s v="2.2"/>
    <x v="19"/>
    <s v="Weekend"/>
  </r>
  <r>
    <x v="421"/>
    <d v="2023-01-01T00:00:00"/>
    <n v="2023"/>
    <n v="1"/>
    <s v="Jan"/>
    <n v="1"/>
    <s v="Sun"/>
    <d v="2026-06-30T19:16:17"/>
    <n v="17"/>
    <s v="Evening"/>
    <n v="1"/>
    <x v="1"/>
    <x v="1"/>
    <n v="35"/>
    <x v="0"/>
    <x v="12"/>
    <s v="Jamaican Coffee River Rg"/>
    <s v="3.1"/>
    <x v="9"/>
    <s v="Weekend"/>
  </r>
  <r>
    <x v="422"/>
    <d v="2023-01-01T00:00:00"/>
    <n v="2023"/>
    <n v="1"/>
    <s v="Jan"/>
    <n v="1"/>
    <s v="Sun"/>
    <d v="2026-06-30T19:17:19"/>
    <n v="17"/>
    <s v="Evening"/>
    <n v="2"/>
    <x v="1"/>
    <x v="1"/>
    <n v="55"/>
    <x v="1"/>
    <x v="1"/>
    <s v="Morning Sunrise Chai Lg"/>
    <s v="4"/>
    <x v="24"/>
    <s v="Weekend"/>
  </r>
  <r>
    <x v="423"/>
    <d v="2023-01-01T00:00:00"/>
    <n v="2023"/>
    <n v="1"/>
    <s v="Jan"/>
    <n v="1"/>
    <s v="Sun"/>
    <d v="2026-06-30T19:17:22"/>
    <n v="17"/>
    <s v="Evening"/>
    <n v="1"/>
    <x v="1"/>
    <x v="1"/>
    <n v="31"/>
    <x v="0"/>
    <x v="0"/>
    <s v="Ethiopia Sm"/>
    <s v="2.2"/>
    <x v="23"/>
    <s v="Weekend"/>
  </r>
  <r>
    <x v="424"/>
    <d v="2023-01-01T00:00:00"/>
    <n v="2023"/>
    <n v="1"/>
    <s v="Jan"/>
    <n v="1"/>
    <s v="Sun"/>
    <d v="2026-06-30T19:18:36"/>
    <n v="17"/>
    <s v="Evening"/>
    <n v="1"/>
    <x v="2"/>
    <x v="2"/>
    <n v="29"/>
    <x v="0"/>
    <x v="0"/>
    <s v="Columbian Medium Roast Rg"/>
    <s v="2.5"/>
    <x v="11"/>
    <s v="Weekend"/>
  </r>
  <r>
    <x v="425"/>
    <d v="2023-01-01T00:00:00"/>
    <n v="2023"/>
    <n v="1"/>
    <s v="Jan"/>
    <n v="1"/>
    <s v="Sun"/>
    <d v="2026-06-30T19:19:08"/>
    <n v="17"/>
    <s v="Evening"/>
    <n v="2"/>
    <x v="0"/>
    <x v="0"/>
    <n v="34"/>
    <x v="0"/>
    <x v="12"/>
    <s v="Jamaican Coffee River Sm"/>
    <s v="2.45"/>
    <x v="25"/>
    <s v="Weekend"/>
  </r>
  <r>
    <x v="426"/>
    <d v="2023-01-01T00:00:00"/>
    <n v="2023"/>
    <n v="1"/>
    <s v="Jan"/>
    <n v="1"/>
    <s v="Sun"/>
    <d v="2026-06-30T19:19:08"/>
    <n v="17"/>
    <s v="Evening"/>
    <n v="1"/>
    <x v="0"/>
    <x v="0"/>
    <n v="75"/>
    <x v="3"/>
    <x v="10"/>
    <s v="Croissant"/>
    <s v="3.5"/>
    <x v="15"/>
    <s v="Weekend"/>
  </r>
  <r>
    <x v="427"/>
    <d v="2023-01-01T00:00:00"/>
    <n v="2023"/>
    <n v="1"/>
    <s v="Jan"/>
    <n v="1"/>
    <s v="Sun"/>
    <d v="2026-06-30T19:19:11"/>
    <n v="17"/>
    <s v="Evening"/>
    <n v="2"/>
    <x v="1"/>
    <x v="1"/>
    <n v="39"/>
    <x v="0"/>
    <x v="5"/>
    <s v="Latte Rg"/>
    <s v="4.25"/>
    <x v="21"/>
    <s v="Weekend"/>
  </r>
  <r>
    <x v="428"/>
    <d v="2023-01-01T00:00:00"/>
    <n v="2023"/>
    <n v="1"/>
    <s v="Jan"/>
    <n v="1"/>
    <s v="Sun"/>
    <d v="2026-06-30T19:19:28"/>
    <n v="17"/>
    <s v="Evening"/>
    <n v="2"/>
    <x v="1"/>
    <x v="1"/>
    <n v="28"/>
    <x v="0"/>
    <x v="0"/>
    <s v="Columbian Medium Roast Sm"/>
    <s v="2"/>
    <x v="5"/>
    <s v="Weekend"/>
  </r>
  <r>
    <x v="429"/>
    <d v="2023-01-01T00:00:00"/>
    <n v="2023"/>
    <n v="1"/>
    <s v="Jan"/>
    <n v="1"/>
    <s v="Sun"/>
    <d v="2026-06-30T19:19:49"/>
    <n v="17"/>
    <s v="Evening"/>
    <n v="2"/>
    <x v="1"/>
    <x v="1"/>
    <n v="87"/>
    <x v="0"/>
    <x v="5"/>
    <s v="Ouro Brasileiro shot"/>
    <s v="3"/>
    <x v="0"/>
    <s v="Weekend"/>
  </r>
  <r>
    <x v="430"/>
    <d v="2023-01-01T00:00:00"/>
    <n v="2023"/>
    <n v="1"/>
    <s v="Jan"/>
    <n v="1"/>
    <s v="Sun"/>
    <d v="2026-06-30T19:19:49"/>
    <n v="17"/>
    <s v="Evening"/>
    <n v="1"/>
    <x v="1"/>
    <x v="1"/>
    <n v="78"/>
    <x v="3"/>
    <x v="4"/>
    <s v="Scottish Cream Scone "/>
    <s v="4.5"/>
    <x v="18"/>
    <s v="Weekend"/>
  </r>
  <r>
    <x v="431"/>
    <d v="2023-01-01T00:00:00"/>
    <n v="2023"/>
    <n v="1"/>
    <s v="Jan"/>
    <n v="1"/>
    <s v="Sun"/>
    <d v="2026-06-30T19:20:02"/>
    <n v="17"/>
    <s v="Evening"/>
    <n v="2"/>
    <x v="1"/>
    <x v="1"/>
    <n v="46"/>
    <x v="1"/>
    <x v="7"/>
    <s v="Serenity Green Tea Rg"/>
    <s v="2.5"/>
    <x v="17"/>
    <s v="Weekend"/>
  </r>
  <r>
    <x v="432"/>
    <d v="2023-01-01T00:00:00"/>
    <n v="2023"/>
    <n v="1"/>
    <s v="Jan"/>
    <n v="1"/>
    <s v="Sun"/>
    <d v="2026-06-30T19:20:02"/>
    <n v="17"/>
    <s v="Evening"/>
    <n v="1"/>
    <x v="1"/>
    <x v="1"/>
    <n v="77"/>
    <x v="3"/>
    <x v="4"/>
    <s v="Oatmeal Scone"/>
    <s v="3"/>
    <x v="4"/>
    <s v="Weekend"/>
  </r>
  <r>
    <x v="433"/>
    <d v="2023-01-01T00:00:00"/>
    <n v="2023"/>
    <n v="1"/>
    <s v="Jan"/>
    <n v="1"/>
    <s v="Sun"/>
    <d v="2026-06-30T19:22:36"/>
    <n v="17"/>
    <s v="Evening"/>
    <n v="1"/>
    <x v="2"/>
    <x v="2"/>
    <n v="36"/>
    <x v="0"/>
    <x v="12"/>
    <s v="Jamaican Coffee River Lg"/>
    <s v="3.75"/>
    <x v="10"/>
    <s v="Weekend"/>
  </r>
  <r>
    <x v="434"/>
    <d v="2023-01-01T00:00:00"/>
    <n v="2023"/>
    <n v="1"/>
    <s v="Jan"/>
    <n v="1"/>
    <s v="Sun"/>
    <d v="2026-06-30T19:23:03"/>
    <n v="17"/>
    <s v="Evening"/>
    <n v="1"/>
    <x v="0"/>
    <x v="0"/>
    <n v="48"/>
    <x v="1"/>
    <x v="6"/>
    <s v="English Breakfast Rg"/>
    <s v="2.5"/>
    <x v="11"/>
    <s v="Weekend"/>
  </r>
  <r>
    <x v="435"/>
    <d v="2023-01-01T00:00:00"/>
    <n v="2023"/>
    <n v="1"/>
    <s v="Jan"/>
    <n v="1"/>
    <s v="Sun"/>
    <d v="2026-06-30T19:23:04"/>
    <n v="17"/>
    <s v="Evening"/>
    <n v="1"/>
    <x v="2"/>
    <x v="2"/>
    <n v="41"/>
    <x v="0"/>
    <x v="5"/>
    <s v="Cappuccino Lg"/>
    <s v="4.25"/>
    <x v="6"/>
    <s v="Weekend"/>
  </r>
  <r>
    <x v="436"/>
    <d v="2023-01-01T00:00:00"/>
    <n v="2023"/>
    <n v="1"/>
    <s v="Jan"/>
    <n v="1"/>
    <s v="Sun"/>
    <d v="2026-06-30T19:25:45"/>
    <n v="17"/>
    <s v="Evening"/>
    <n v="2"/>
    <x v="2"/>
    <x v="2"/>
    <n v="58"/>
    <x v="2"/>
    <x v="2"/>
    <s v="Dark chocolate Rg"/>
    <s v="3.5"/>
    <x v="7"/>
    <s v="Weekend"/>
  </r>
  <r>
    <x v="437"/>
    <d v="2023-01-01T00:00:00"/>
    <n v="2023"/>
    <n v="1"/>
    <s v="Jan"/>
    <n v="1"/>
    <s v="Sun"/>
    <d v="2026-06-30T19:26:15"/>
    <n v="17"/>
    <s v="Evening"/>
    <n v="1"/>
    <x v="1"/>
    <x v="1"/>
    <n v="35"/>
    <x v="0"/>
    <x v="12"/>
    <s v="Jamaican Coffee River Rg"/>
    <s v="3.1"/>
    <x v="9"/>
    <s v="Weekend"/>
  </r>
  <r>
    <x v="438"/>
    <d v="2023-01-01T00:00:00"/>
    <n v="2023"/>
    <n v="1"/>
    <s v="Jan"/>
    <n v="1"/>
    <s v="Sun"/>
    <d v="2026-06-30T19:26:15"/>
    <n v="17"/>
    <s v="Evening"/>
    <n v="1"/>
    <x v="1"/>
    <x v="1"/>
    <n v="76"/>
    <x v="3"/>
    <x v="9"/>
    <s v="Chocolate Chip Biscotti"/>
    <s v="3.5"/>
    <x v="15"/>
    <s v="Weekend"/>
  </r>
  <r>
    <x v="439"/>
    <d v="2023-01-01T00:00:00"/>
    <n v="2023"/>
    <n v="1"/>
    <s v="Jan"/>
    <n v="1"/>
    <s v="Sun"/>
    <d v="2026-06-30T19:28:42"/>
    <n v="17"/>
    <s v="Evening"/>
    <n v="1"/>
    <x v="0"/>
    <x v="0"/>
    <n v="37"/>
    <x v="0"/>
    <x v="5"/>
    <s v="Espresso shot"/>
    <s v="3"/>
    <x v="4"/>
    <s v="Weekend"/>
  </r>
  <r>
    <x v="440"/>
    <d v="2023-01-01T00:00:00"/>
    <n v="2023"/>
    <n v="1"/>
    <s v="Jan"/>
    <n v="1"/>
    <s v="Sun"/>
    <d v="2026-06-30T19:28:42"/>
    <n v="17"/>
    <s v="Evening"/>
    <n v="1"/>
    <x v="0"/>
    <x v="0"/>
    <n v="70"/>
    <x v="3"/>
    <x v="4"/>
    <s v="Cranberry Scone"/>
    <s v="3.25"/>
    <x v="14"/>
    <s v="Weekend"/>
  </r>
  <r>
    <x v="441"/>
    <d v="2023-01-01T00:00:00"/>
    <n v="2023"/>
    <n v="1"/>
    <s v="Jan"/>
    <n v="1"/>
    <s v="Sun"/>
    <d v="2026-06-30T19:29:25"/>
    <n v="17"/>
    <s v="Evening"/>
    <n v="1"/>
    <x v="2"/>
    <x v="2"/>
    <n v="46"/>
    <x v="1"/>
    <x v="7"/>
    <s v="Serenity Green Tea Rg"/>
    <s v="2.5"/>
    <x v="11"/>
    <s v="Weekend"/>
  </r>
  <r>
    <x v="442"/>
    <d v="2023-01-01T00:00:00"/>
    <n v="2023"/>
    <n v="1"/>
    <s v="Jan"/>
    <n v="1"/>
    <s v="Sun"/>
    <d v="2026-06-30T19:29:25"/>
    <n v="17"/>
    <s v="Evening"/>
    <n v="1"/>
    <x v="2"/>
    <x v="2"/>
    <n v="75"/>
    <x v="3"/>
    <x v="10"/>
    <s v="Croissant"/>
    <s v="3.5"/>
    <x v="15"/>
    <s v="Weekend"/>
  </r>
  <r>
    <x v="443"/>
    <d v="2023-01-01T00:00:00"/>
    <n v="2023"/>
    <n v="1"/>
    <s v="Jan"/>
    <n v="1"/>
    <s v="Sun"/>
    <d v="2026-06-30T19:34:47"/>
    <n v="17"/>
    <s v="Evening"/>
    <n v="2"/>
    <x v="1"/>
    <x v="1"/>
    <n v="54"/>
    <x v="1"/>
    <x v="1"/>
    <s v="Morning Sunrise Chai Rg"/>
    <s v="2.5"/>
    <x v="17"/>
    <s v="Weekend"/>
  </r>
  <r>
    <x v="444"/>
    <d v="2023-01-01T00:00:00"/>
    <n v="2023"/>
    <n v="1"/>
    <s v="Jan"/>
    <n v="1"/>
    <s v="Sun"/>
    <d v="2026-06-30T19:35:26"/>
    <n v="17"/>
    <s v="Evening"/>
    <n v="1"/>
    <x v="2"/>
    <x v="2"/>
    <n v="47"/>
    <x v="1"/>
    <x v="7"/>
    <s v="Serenity Green Tea Lg"/>
    <s v="3"/>
    <x v="4"/>
    <s v="Weekend"/>
  </r>
  <r>
    <x v="445"/>
    <d v="2023-01-01T00:00:00"/>
    <n v="2023"/>
    <n v="1"/>
    <s v="Jan"/>
    <n v="1"/>
    <s v="Sun"/>
    <d v="2026-06-30T19:35:26"/>
    <n v="17"/>
    <s v="Evening"/>
    <n v="1"/>
    <x v="2"/>
    <x v="2"/>
    <n v="69"/>
    <x v="3"/>
    <x v="9"/>
    <s v="Hazelnut Biscotti"/>
    <s v="3.25"/>
    <x v="14"/>
    <s v="Weekend"/>
  </r>
  <r>
    <x v="446"/>
    <d v="2023-01-01T00:00:00"/>
    <n v="2023"/>
    <n v="1"/>
    <s v="Jan"/>
    <n v="1"/>
    <s v="Sun"/>
    <d v="2026-06-30T19:37:26"/>
    <n v="17"/>
    <s v="Evening"/>
    <n v="1"/>
    <x v="1"/>
    <x v="1"/>
    <n v="42"/>
    <x v="1"/>
    <x v="8"/>
    <s v="Lemon Grass Rg"/>
    <s v="2.5"/>
    <x v="11"/>
    <s v="Weekend"/>
  </r>
  <r>
    <x v="447"/>
    <d v="2023-01-01T00:00:00"/>
    <n v="2023"/>
    <n v="1"/>
    <s v="Jan"/>
    <n v="1"/>
    <s v="Sun"/>
    <d v="2026-06-30T19:40:50"/>
    <n v="17"/>
    <s v="Evening"/>
    <n v="1"/>
    <x v="2"/>
    <x v="2"/>
    <n v="55"/>
    <x v="1"/>
    <x v="1"/>
    <s v="Morning Sunrise Chai Lg"/>
    <s v="4"/>
    <x v="5"/>
    <s v="Weekend"/>
  </r>
  <r>
    <x v="448"/>
    <d v="2023-01-01T00:00:00"/>
    <n v="2023"/>
    <n v="1"/>
    <s v="Jan"/>
    <n v="1"/>
    <s v="Sun"/>
    <d v="2026-06-30T19:41:55"/>
    <n v="17"/>
    <s v="Evening"/>
    <n v="2"/>
    <x v="2"/>
    <x v="2"/>
    <n v="55"/>
    <x v="1"/>
    <x v="1"/>
    <s v="Morning Sunrise Chai Lg"/>
    <s v="4"/>
    <x v="24"/>
    <s v="Weekend"/>
  </r>
  <r>
    <x v="449"/>
    <d v="2023-01-01T00:00:00"/>
    <n v="2023"/>
    <n v="1"/>
    <s v="Jan"/>
    <n v="1"/>
    <s v="Sun"/>
    <d v="2026-06-30T19:41:55"/>
    <n v="17"/>
    <s v="Evening"/>
    <n v="1"/>
    <x v="2"/>
    <x v="2"/>
    <n v="71"/>
    <x v="3"/>
    <x v="10"/>
    <s v="Chocolate Croissant"/>
    <s v="3.75"/>
    <x v="10"/>
    <s v="Weekend"/>
  </r>
  <r>
    <x v="450"/>
    <d v="2023-01-01T00:00:00"/>
    <n v="2023"/>
    <n v="1"/>
    <s v="Jan"/>
    <n v="1"/>
    <s v="Sun"/>
    <d v="2026-06-30T19:43:49"/>
    <n v="17"/>
    <s v="Evening"/>
    <n v="2"/>
    <x v="1"/>
    <x v="1"/>
    <n v="52"/>
    <x v="1"/>
    <x v="1"/>
    <s v="Traditional Blend Chai Rg"/>
    <s v="2.5"/>
    <x v="17"/>
    <s v="Weekend"/>
  </r>
  <r>
    <x v="451"/>
    <d v="2023-01-01T00:00:00"/>
    <n v="2023"/>
    <n v="1"/>
    <s v="Jan"/>
    <n v="1"/>
    <s v="Sun"/>
    <d v="2026-06-30T19:44:28"/>
    <n v="17"/>
    <s v="Evening"/>
    <n v="2"/>
    <x v="2"/>
    <x v="2"/>
    <n v="27"/>
    <x v="0"/>
    <x v="11"/>
    <s v="Brazilian Lg"/>
    <s v="3.5"/>
    <x v="7"/>
    <s v="Weekend"/>
  </r>
  <r>
    <x v="452"/>
    <d v="2023-01-01T00:00:00"/>
    <n v="2023"/>
    <n v="1"/>
    <s v="Jan"/>
    <n v="1"/>
    <s v="Sun"/>
    <d v="2026-06-30T19:44:28"/>
    <n v="17"/>
    <s v="Evening"/>
    <n v="1"/>
    <x v="2"/>
    <x v="2"/>
    <n v="74"/>
    <x v="3"/>
    <x v="9"/>
    <s v="Ginger Biscotti"/>
    <s v="3.5"/>
    <x v="15"/>
    <s v="Weekend"/>
  </r>
  <r>
    <x v="453"/>
    <d v="2023-01-01T00:00:00"/>
    <n v="2023"/>
    <n v="1"/>
    <s v="Jan"/>
    <n v="1"/>
    <s v="Sun"/>
    <d v="2026-06-30T19:44:48"/>
    <n v="17"/>
    <s v="Evening"/>
    <n v="1"/>
    <x v="1"/>
    <x v="1"/>
    <n v="34"/>
    <x v="0"/>
    <x v="12"/>
    <s v="Jamaican Coffee River Sm"/>
    <s v="2.45"/>
    <x v="20"/>
    <s v="Weekend"/>
  </r>
  <r>
    <x v="454"/>
    <d v="2023-01-01T00:00:00"/>
    <n v="2023"/>
    <n v="1"/>
    <s v="Jan"/>
    <n v="1"/>
    <s v="Sun"/>
    <d v="2026-06-30T19:45:21"/>
    <n v="17"/>
    <s v="Evening"/>
    <n v="1"/>
    <x v="1"/>
    <x v="1"/>
    <n v="27"/>
    <x v="0"/>
    <x v="11"/>
    <s v="Brazilian Lg"/>
    <s v="3.5"/>
    <x v="15"/>
    <s v="Weekend"/>
  </r>
  <r>
    <x v="455"/>
    <d v="2023-01-01T00:00:00"/>
    <n v="2023"/>
    <n v="1"/>
    <s v="Jan"/>
    <n v="1"/>
    <s v="Sun"/>
    <d v="2026-06-30T19:46:21"/>
    <n v="17"/>
    <s v="Evening"/>
    <n v="2"/>
    <x v="1"/>
    <x v="1"/>
    <n v="36"/>
    <x v="0"/>
    <x v="12"/>
    <s v="Jamaican Coffee River Lg"/>
    <s v="3.75"/>
    <x v="16"/>
    <s v="Weekend"/>
  </r>
  <r>
    <x v="456"/>
    <d v="2023-01-01T00:00:00"/>
    <n v="2023"/>
    <n v="1"/>
    <s v="Jan"/>
    <n v="1"/>
    <s v="Sun"/>
    <d v="2026-06-30T19:46:21"/>
    <n v="17"/>
    <s v="Evening"/>
    <n v="1"/>
    <x v="1"/>
    <x v="1"/>
    <n v="76"/>
    <x v="3"/>
    <x v="9"/>
    <s v="Chocolate Chip Biscotti"/>
    <s v="3.5"/>
    <x v="15"/>
    <s v="Weekend"/>
  </r>
  <r>
    <x v="457"/>
    <d v="2023-01-01T00:00:00"/>
    <n v="2023"/>
    <n v="1"/>
    <s v="Jan"/>
    <n v="1"/>
    <s v="Sun"/>
    <d v="2026-06-30T19:49:04"/>
    <n v="17"/>
    <s v="Evening"/>
    <n v="2"/>
    <x v="1"/>
    <x v="1"/>
    <n v="60"/>
    <x v="2"/>
    <x v="2"/>
    <s v="Sustainably Grown Organic Rg"/>
    <s v="3.75"/>
    <x v="16"/>
    <s v="Weekend"/>
  </r>
  <r>
    <x v="458"/>
    <d v="2023-01-01T00:00:00"/>
    <n v="2023"/>
    <n v="1"/>
    <s v="Jan"/>
    <n v="1"/>
    <s v="Sun"/>
    <d v="2026-06-30T19:50:19"/>
    <n v="17"/>
    <s v="Evening"/>
    <n v="1"/>
    <x v="0"/>
    <x v="0"/>
    <n v="45"/>
    <x v="1"/>
    <x v="8"/>
    <s v="Peppermint Lg"/>
    <s v="3"/>
    <x v="4"/>
    <s v="Weekend"/>
  </r>
  <r>
    <x v="459"/>
    <d v="2023-01-01T00:00:00"/>
    <n v="2023"/>
    <n v="1"/>
    <s v="Jan"/>
    <n v="1"/>
    <s v="Sun"/>
    <d v="2026-06-30T19:50:30"/>
    <n v="17"/>
    <s v="Evening"/>
    <n v="2"/>
    <x v="1"/>
    <x v="1"/>
    <n v="38"/>
    <x v="0"/>
    <x v="5"/>
    <s v="Latte"/>
    <s v="3.75"/>
    <x v="16"/>
    <s v="Weekend"/>
  </r>
  <r>
    <x v="460"/>
    <d v="2023-01-01T00:00:00"/>
    <n v="2023"/>
    <n v="1"/>
    <s v="Jan"/>
    <n v="1"/>
    <s v="Sun"/>
    <d v="2026-06-30T19:51:06"/>
    <n v="17"/>
    <s v="Evening"/>
    <n v="2"/>
    <x v="2"/>
    <x v="2"/>
    <n v="60"/>
    <x v="2"/>
    <x v="2"/>
    <s v="Sustainably Grown Organic Rg"/>
    <s v="3.75"/>
    <x v="16"/>
    <s v="Weekend"/>
  </r>
  <r>
    <x v="461"/>
    <d v="2023-01-01T00:00:00"/>
    <n v="2023"/>
    <n v="1"/>
    <s v="Jan"/>
    <n v="1"/>
    <s v="Sun"/>
    <d v="2026-06-30T19:54:11"/>
    <n v="17"/>
    <s v="Evening"/>
    <n v="2"/>
    <x v="2"/>
    <x v="2"/>
    <n v="56"/>
    <x v="1"/>
    <x v="1"/>
    <s v="Spicy Eye Opener Chai Rg"/>
    <s v="2.55"/>
    <x v="13"/>
    <s v="Weekend"/>
  </r>
  <r>
    <x v="462"/>
    <d v="2023-01-01T00:00:00"/>
    <n v="2023"/>
    <n v="1"/>
    <s v="Jan"/>
    <n v="1"/>
    <s v="Sun"/>
    <d v="2026-06-30T19:56:46"/>
    <n v="17"/>
    <s v="Evening"/>
    <n v="1"/>
    <x v="1"/>
    <x v="1"/>
    <n v="30"/>
    <x v="0"/>
    <x v="0"/>
    <s v="Columbian Medium Roast Lg"/>
    <s v="3"/>
    <x v="4"/>
    <s v="Weekend"/>
  </r>
  <r>
    <x v="463"/>
    <d v="2023-01-01T00:00:00"/>
    <n v="2023"/>
    <n v="1"/>
    <s v="Jan"/>
    <n v="1"/>
    <s v="Sun"/>
    <d v="2026-06-30T19:58:01"/>
    <n v="17"/>
    <s v="Evening"/>
    <n v="1"/>
    <x v="0"/>
    <x v="0"/>
    <n v="39"/>
    <x v="0"/>
    <x v="5"/>
    <s v="Latte Rg"/>
    <s v="4.25"/>
    <x v="6"/>
    <s v="Weekend"/>
  </r>
  <r>
    <x v="464"/>
    <d v="2023-01-01T00:00:00"/>
    <n v="2023"/>
    <n v="1"/>
    <s v="Jan"/>
    <n v="1"/>
    <s v="Sun"/>
    <d v="2026-06-30T19:59:44"/>
    <n v="17"/>
    <s v="Evening"/>
    <n v="2"/>
    <x v="1"/>
    <x v="1"/>
    <n v="53"/>
    <x v="1"/>
    <x v="1"/>
    <s v="Traditional Blend Chai Lg"/>
    <s v="3"/>
    <x v="0"/>
    <s v="Weekend"/>
  </r>
  <r>
    <x v="465"/>
    <d v="2023-01-01T00:00:00"/>
    <n v="2023"/>
    <n v="1"/>
    <s v="Jan"/>
    <n v="1"/>
    <s v="Sun"/>
    <d v="2026-06-30T19:59:44"/>
    <n v="17"/>
    <s v="Evening"/>
    <n v="1"/>
    <x v="1"/>
    <x v="1"/>
    <n v="76"/>
    <x v="3"/>
    <x v="9"/>
    <s v="Chocolate Chip Biscotti"/>
    <s v="3.5"/>
    <x v="15"/>
    <s v="Weekend"/>
  </r>
  <r>
    <x v="466"/>
    <d v="2023-01-01T00:00:00"/>
    <n v="2023"/>
    <n v="1"/>
    <s v="Jan"/>
    <n v="1"/>
    <s v="Sun"/>
    <d v="2026-06-30T20:01:08"/>
    <n v="18"/>
    <s v="Evening"/>
    <n v="2"/>
    <x v="1"/>
    <x v="1"/>
    <n v="45"/>
    <x v="1"/>
    <x v="8"/>
    <s v="Peppermint Lg"/>
    <s v="3"/>
    <x v="0"/>
    <s v="Weekend"/>
  </r>
  <r>
    <x v="467"/>
    <d v="2023-01-01T00:00:00"/>
    <n v="2023"/>
    <n v="1"/>
    <s v="Jan"/>
    <n v="1"/>
    <s v="Sun"/>
    <d v="2026-06-30T20:02:00"/>
    <n v="18"/>
    <s v="Evening"/>
    <n v="1"/>
    <x v="2"/>
    <x v="2"/>
    <n v="52"/>
    <x v="1"/>
    <x v="1"/>
    <s v="Traditional Blend Chai Rg"/>
    <s v="2.5"/>
    <x v="11"/>
    <s v="Weekend"/>
  </r>
  <r>
    <x v="468"/>
    <d v="2023-01-01T00:00:00"/>
    <n v="2023"/>
    <n v="1"/>
    <s v="Jan"/>
    <n v="1"/>
    <s v="Sun"/>
    <d v="2026-06-30T20:02:21"/>
    <n v="18"/>
    <s v="Evening"/>
    <n v="2"/>
    <x v="0"/>
    <x v="0"/>
    <n v="49"/>
    <x v="1"/>
    <x v="6"/>
    <s v="English Breakfast Lg"/>
    <s v="3"/>
    <x v="0"/>
    <s v="Weekend"/>
  </r>
  <r>
    <x v="469"/>
    <d v="2023-01-01T00:00:00"/>
    <n v="2023"/>
    <n v="1"/>
    <s v="Jan"/>
    <n v="1"/>
    <s v="Sun"/>
    <d v="2026-06-30T20:03:13"/>
    <n v="18"/>
    <s v="Evening"/>
    <n v="1"/>
    <x v="2"/>
    <x v="2"/>
    <n v="28"/>
    <x v="0"/>
    <x v="0"/>
    <s v="Columbian Medium Roast Sm"/>
    <s v="2"/>
    <x v="3"/>
    <s v="Weekend"/>
  </r>
  <r>
    <x v="470"/>
    <d v="2023-01-01T00:00:00"/>
    <n v="2023"/>
    <n v="1"/>
    <s v="Jan"/>
    <n v="1"/>
    <s v="Sun"/>
    <d v="2026-06-30T20:03:13"/>
    <n v="18"/>
    <s v="Evening"/>
    <n v="1"/>
    <x v="2"/>
    <x v="2"/>
    <n v="78"/>
    <x v="3"/>
    <x v="4"/>
    <s v="Scottish Cream Scone "/>
    <s v="4.5"/>
    <x v="18"/>
    <s v="Weekend"/>
  </r>
  <r>
    <x v="471"/>
    <d v="2023-01-01T00:00:00"/>
    <n v="2023"/>
    <n v="1"/>
    <s v="Jan"/>
    <n v="1"/>
    <s v="Sun"/>
    <d v="2026-06-30T20:04:34"/>
    <n v="18"/>
    <s v="Evening"/>
    <n v="1"/>
    <x v="2"/>
    <x v="2"/>
    <n v="28"/>
    <x v="0"/>
    <x v="0"/>
    <s v="Columbian Medium Roast Sm"/>
    <s v="2"/>
    <x v="3"/>
    <s v="Weekend"/>
  </r>
  <r>
    <x v="472"/>
    <d v="2023-01-01T00:00:00"/>
    <n v="2023"/>
    <n v="1"/>
    <s v="Jan"/>
    <n v="1"/>
    <s v="Sun"/>
    <d v="2026-06-30T20:06:52"/>
    <n v="18"/>
    <s v="Evening"/>
    <n v="2"/>
    <x v="2"/>
    <x v="2"/>
    <n v="30"/>
    <x v="0"/>
    <x v="0"/>
    <s v="Columbian Medium Roast Lg"/>
    <s v="3"/>
    <x v="0"/>
    <s v="Weekend"/>
  </r>
  <r>
    <x v="473"/>
    <d v="2023-01-01T00:00:00"/>
    <n v="2023"/>
    <n v="1"/>
    <s v="Jan"/>
    <n v="1"/>
    <s v="Sun"/>
    <d v="2026-06-30T20:06:52"/>
    <n v="18"/>
    <s v="Evening"/>
    <n v="1"/>
    <x v="2"/>
    <x v="2"/>
    <n v="79"/>
    <x v="3"/>
    <x v="4"/>
    <s v="Jumbo Savory Scone"/>
    <s v="3.75"/>
    <x v="10"/>
    <s v="Weekend"/>
  </r>
  <r>
    <x v="474"/>
    <d v="2023-01-01T00:00:00"/>
    <n v="2023"/>
    <n v="1"/>
    <s v="Jan"/>
    <n v="1"/>
    <s v="Sun"/>
    <d v="2026-06-30T20:07:13"/>
    <n v="18"/>
    <s v="Evening"/>
    <n v="1"/>
    <x v="1"/>
    <x v="1"/>
    <n v="23"/>
    <x v="0"/>
    <x v="3"/>
    <s v="Our Old Time Diner Blend Rg"/>
    <s v="2.5"/>
    <x v="11"/>
    <s v="Weekend"/>
  </r>
  <r>
    <x v="475"/>
    <d v="2023-01-01T00:00:00"/>
    <n v="2023"/>
    <n v="1"/>
    <s v="Jan"/>
    <n v="1"/>
    <s v="Sun"/>
    <d v="2026-06-30T20:08:53"/>
    <n v="18"/>
    <s v="Evening"/>
    <n v="2"/>
    <x v="2"/>
    <x v="2"/>
    <n v="34"/>
    <x v="0"/>
    <x v="12"/>
    <s v="Jamaican Coffee River Sm"/>
    <s v="2.45"/>
    <x v="25"/>
    <s v="Weekend"/>
  </r>
  <r>
    <x v="476"/>
    <d v="2023-01-01T00:00:00"/>
    <n v="2023"/>
    <n v="1"/>
    <s v="Jan"/>
    <n v="1"/>
    <s v="Sun"/>
    <d v="2026-06-30T20:12:37"/>
    <n v="18"/>
    <s v="Evening"/>
    <n v="2"/>
    <x v="2"/>
    <x v="2"/>
    <n v="25"/>
    <x v="0"/>
    <x v="11"/>
    <s v="Brazilian Sm"/>
    <s v="2.2"/>
    <x v="19"/>
    <s v="Weekend"/>
  </r>
  <r>
    <x v="477"/>
    <d v="2023-01-01T00:00:00"/>
    <n v="2023"/>
    <n v="1"/>
    <s v="Jan"/>
    <n v="1"/>
    <s v="Sun"/>
    <d v="2026-06-30T20:13:32"/>
    <n v="18"/>
    <s v="Evening"/>
    <n v="2"/>
    <x v="0"/>
    <x v="0"/>
    <n v="23"/>
    <x v="0"/>
    <x v="3"/>
    <s v="Our Old Time Diner Blend Rg"/>
    <s v="2.5"/>
    <x v="17"/>
    <s v="Weekend"/>
  </r>
  <r>
    <x v="478"/>
    <d v="2023-01-01T00:00:00"/>
    <n v="2023"/>
    <n v="1"/>
    <s v="Jan"/>
    <n v="1"/>
    <s v="Sun"/>
    <d v="2026-06-30T20:13:41"/>
    <n v="18"/>
    <s v="Evening"/>
    <n v="2"/>
    <x v="1"/>
    <x v="1"/>
    <n v="57"/>
    <x v="1"/>
    <x v="1"/>
    <s v="Spicy Eye Opener Chai Lg"/>
    <s v="3.1"/>
    <x v="1"/>
    <s v="Weekend"/>
  </r>
  <r>
    <x v="479"/>
    <d v="2023-01-01T00:00:00"/>
    <n v="2023"/>
    <n v="1"/>
    <s v="Jan"/>
    <n v="1"/>
    <s v="Sun"/>
    <d v="2026-06-30T20:14:28"/>
    <n v="18"/>
    <s v="Evening"/>
    <n v="2"/>
    <x v="1"/>
    <x v="1"/>
    <n v="26"/>
    <x v="0"/>
    <x v="11"/>
    <s v="Brazilian Rg"/>
    <s v="3"/>
    <x v="0"/>
    <s v="Weekend"/>
  </r>
  <r>
    <x v="480"/>
    <d v="2023-01-01T00:00:00"/>
    <n v="2023"/>
    <n v="1"/>
    <s v="Jan"/>
    <n v="1"/>
    <s v="Sun"/>
    <d v="2026-06-30T20:17:09"/>
    <n v="18"/>
    <s v="Evening"/>
    <n v="2"/>
    <x v="1"/>
    <x v="1"/>
    <n v="36"/>
    <x v="0"/>
    <x v="12"/>
    <s v="Jamaican Coffee River Lg"/>
    <s v="3.75"/>
    <x v="16"/>
    <s v="Weekend"/>
  </r>
  <r>
    <x v="481"/>
    <d v="2023-01-01T00:00:00"/>
    <n v="2023"/>
    <n v="1"/>
    <s v="Jan"/>
    <n v="1"/>
    <s v="Sun"/>
    <d v="2026-06-30T20:18:10"/>
    <n v="18"/>
    <s v="Evening"/>
    <n v="1"/>
    <x v="2"/>
    <x v="2"/>
    <n v="59"/>
    <x v="2"/>
    <x v="2"/>
    <s v="Dark chocolate Lg"/>
    <s v="4.5"/>
    <x v="18"/>
    <s v="Weekend"/>
  </r>
  <r>
    <x v="482"/>
    <d v="2023-01-01T00:00:00"/>
    <n v="2023"/>
    <n v="1"/>
    <s v="Jan"/>
    <n v="1"/>
    <s v="Sun"/>
    <d v="2026-06-30T20:19:45"/>
    <n v="18"/>
    <s v="Evening"/>
    <n v="1"/>
    <x v="0"/>
    <x v="0"/>
    <n v="52"/>
    <x v="1"/>
    <x v="1"/>
    <s v="Traditional Blend Chai Rg"/>
    <s v="2.5"/>
    <x v="11"/>
    <s v="Weekend"/>
  </r>
  <r>
    <x v="483"/>
    <d v="2023-01-01T00:00:00"/>
    <n v="2023"/>
    <n v="1"/>
    <s v="Jan"/>
    <n v="1"/>
    <s v="Sun"/>
    <d v="2026-06-30T20:19:45"/>
    <n v="18"/>
    <s v="Evening"/>
    <n v="1"/>
    <x v="0"/>
    <x v="0"/>
    <n v="76"/>
    <x v="3"/>
    <x v="9"/>
    <s v="Chocolate Chip Biscotti"/>
    <s v="3.5"/>
    <x v="15"/>
    <s v="Weekend"/>
  </r>
  <r>
    <x v="484"/>
    <d v="2023-01-01T00:00:00"/>
    <n v="2023"/>
    <n v="1"/>
    <s v="Jan"/>
    <n v="1"/>
    <s v="Sun"/>
    <d v="2026-06-30T20:21:22"/>
    <n v="18"/>
    <s v="Evening"/>
    <n v="1"/>
    <x v="2"/>
    <x v="2"/>
    <n v="46"/>
    <x v="1"/>
    <x v="7"/>
    <s v="Serenity Green Tea Rg"/>
    <s v="2.5"/>
    <x v="11"/>
    <s v="Weekend"/>
  </r>
  <r>
    <x v="485"/>
    <d v="2023-01-01T00:00:00"/>
    <n v="2023"/>
    <n v="1"/>
    <s v="Jan"/>
    <n v="1"/>
    <s v="Sun"/>
    <d v="2026-06-30T20:22:12"/>
    <n v="18"/>
    <s v="Evening"/>
    <n v="2"/>
    <x v="2"/>
    <x v="2"/>
    <n v="61"/>
    <x v="2"/>
    <x v="2"/>
    <s v="Sustainably Grown Organic Lg"/>
    <s v="4.75"/>
    <x v="22"/>
    <s v="Weekend"/>
  </r>
  <r>
    <x v="486"/>
    <d v="2023-01-01T00:00:00"/>
    <n v="2023"/>
    <n v="1"/>
    <s v="Jan"/>
    <n v="1"/>
    <s v="Sun"/>
    <d v="2026-06-30T20:22:48"/>
    <n v="18"/>
    <s v="Evening"/>
    <n v="2"/>
    <x v="0"/>
    <x v="0"/>
    <n v="37"/>
    <x v="0"/>
    <x v="5"/>
    <s v="Espresso shot"/>
    <s v="3"/>
    <x v="0"/>
    <s v="Weekend"/>
  </r>
  <r>
    <x v="487"/>
    <d v="2023-01-01T00:00:00"/>
    <n v="2023"/>
    <n v="1"/>
    <s v="Jan"/>
    <n v="1"/>
    <s v="Sun"/>
    <d v="2026-06-30T20:22:53"/>
    <n v="18"/>
    <s v="Evening"/>
    <n v="1"/>
    <x v="2"/>
    <x v="2"/>
    <n v="32"/>
    <x v="0"/>
    <x v="0"/>
    <s v="Ethiopia Rg"/>
    <s v="3"/>
    <x v="4"/>
    <s v="Weekend"/>
  </r>
  <r>
    <x v="488"/>
    <d v="2023-01-01T00:00:00"/>
    <n v="2023"/>
    <n v="1"/>
    <s v="Jan"/>
    <n v="1"/>
    <s v="Sun"/>
    <d v="2026-06-30T20:22:53"/>
    <n v="18"/>
    <s v="Evening"/>
    <n v="1"/>
    <x v="2"/>
    <x v="2"/>
    <n v="79"/>
    <x v="3"/>
    <x v="4"/>
    <s v="Jumbo Savory Scone"/>
    <s v="3.75"/>
    <x v="10"/>
    <s v="Weekend"/>
  </r>
  <r>
    <x v="489"/>
    <d v="2023-01-01T00:00:00"/>
    <n v="2023"/>
    <n v="1"/>
    <s v="Jan"/>
    <n v="1"/>
    <s v="Sun"/>
    <d v="2026-06-30T20:23:34"/>
    <n v="18"/>
    <s v="Evening"/>
    <n v="2"/>
    <x v="0"/>
    <x v="0"/>
    <n v="53"/>
    <x v="1"/>
    <x v="1"/>
    <s v="Traditional Blend Chai Lg"/>
    <s v="3"/>
    <x v="0"/>
    <s v="Weekend"/>
  </r>
  <r>
    <x v="490"/>
    <d v="2023-01-01T00:00:00"/>
    <n v="2023"/>
    <n v="1"/>
    <s v="Jan"/>
    <n v="1"/>
    <s v="Sun"/>
    <d v="2026-06-30T20:25:51"/>
    <n v="18"/>
    <s v="Evening"/>
    <n v="1"/>
    <x v="2"/>
    <x v="2"/>
    <n v="61"/>
    <x v="2"/>
    <x v="2"/>
    <s v="Sustainably Grown Organic Lg"/>
    <s v="4.75"/>
    <x v="12"/>
    <s v="Weekend"/>
  </r>
  <r>
    <x v="491"/>
    <d v="2023-01-01T00:00:00"/>
    <n v="2023"/>
    <n v="1"/>
    <s v="Jan"/>
    <n v="1"/>
    <s v="Sun"/>
    <d v="2026-06-30T20:25:57"/>
    <n v="18"/>
    <s v="Evening"/>
    <n v="1"/>
    <x v="1"/>
    <x v="1"/>
    <n v="43"/>
    <x v="1"/>
    <x v="8"/>
    <s v="Lemon Grass Lg"/>
    <s v="3"/>
    <x v="4"/>
    <s v="Weekend"/>
  </r>
  <r>
    <x v="492"/>
    <d v="2023-01-01T00:00:00"/>
    <n v="2023"/>
    <n v="1"/>
    <s v="Jan"/>
    <n v="1"/>
    <s v="Sun"/>
    <d v="2026-06-30T20:27:08"/>
    <n v="18"/>
    <s v="Evening"/>
    <n v="2"/>
    <x v="0"/>
    <x v="0"/>
    <n v="54"/>
    <x v="1"/>
    <x v="1"/>
    <s v="Morning Sunrise Chai Rg"/>
    <s v="2.5"/>
    <x v="17"/>
    <s v="Weekend"/>
  </r>
  <r>
    <x v="493"/>
    <d v="2023-01-01T00:00:00"/>
    <n v="2023"/>
    <n v="1"/>
    <s v="Jan"/>
    <n v="1"/>
    <s v="Sun"/>
    <d v="2026-06-30T20:29:34"/>
    <n v="18"/>
    <s v="Evening"/>
    <n v="2"/>
    <x v="1"/>
    <x v="1"/>
    <n v="44"/>
    <x v="1"/>
    <x v="8"/>
    <s v="Peppermint Rg"/>
    <s v="2.5"/>
    <x v="17"/>
    <s v="Weekend"/>
  </r>
  <r>
    <x v="494"/>
    <d v="2023-01-01T00:00:00"/>
    <n v="2023"/>
    <n v="1"/>
    <s v="Jan"/>
    <n v="1"/>
    <s v="Sun"/>
    <d v="2026-06-30T20:30:05"/>
    <n v="18"/>
    <s v="Evening"/>
    <n v="2"/>
    <x v="2"/>
    <x v="2"/>
    <n v="55"/>
    <x v="1"/>
    <x v="1"/>
    <s v="Morning Sunrise Chai Lg"/>
    <s v="4"/>
    <x v="24"/>
    <s v="Weekend"/>
  </r>
  <r>
    <x v="495"/>
    <d v="2023-01-01T00:00:00"/>
    <n v="2023"/>
    <n v="1"/>
    <s v="Jan"/>
    <n v="1"/>
    <s v="Sun"/>
    <d v="2026-06-30T20:34:56"/>
    <n v="18"/>
    <s v="Evening"/>
    <n v="2"/>
    <x v="2"/>
    <x v="2"/>
    <n v="60"/>
    <x v="2"/>
    <x v="2"/>
    <s v="Sustainably Grown Organic Rg"/>
    <s v="3.75"/>
    <x v="16"/>
    <s v="Weekend"/>
  </r>
  <r>
    <x v="496"/>
    <d v="2023-01-01T00:00:00"/>
    <n v="2023"/>
    <n v="1"/>
    <s v="Jan"/>
    <n v="1"/>
    <s v="Sun"/>
    <d v="2026-06-30T20:39:29"/>
    <n v="18"/>
    <s v="Evening"/>
    <n v="1"/>
    <x v="2"/>
    <x v="2"/>
    <n v="22"/>
    <x v="0"/>
    <x v="3"/>
    <s v="Our Old Time Diner Blend Sm"/>
    <s v="2"/>
    <x v="3"/>
    <s v="Weekend"/>
  </r>
  <r>
    <x v="497"/>
    <d v="2023-01-01T00:00:00"/>
    <n v="2023"/>
    <n v="1"/>
    <s v="Jan"/>
    <n v="1"/>
    <s v="Sun"/>
    <d v="2026-06-30T20:40:29"/>
    <n v="18"/>
    <s v="Evening"/>
    <n v="2"/>
    <x v="1"/>
    <x v="1"/>
    <n v="53"/>
    <x v="1"/>
    <x v="1"/>
    <s v="Traditional Blend Chai Lg"/>
    <s v="3"/>
    <x v="0"/>
    <s v="Weekend"/>
  </r>
  <r>
    <x v="498"/>
    <d v="2023-01-01T00:00:00"/>
    <n v="2023"/>
    <n v="1"/>
    <s v="Jan"/>
    <n v="1"/>
    <s v="Sun"/>
    <d v="2026-06-30T20:41:13"/>
    <n v="18"/>
    <s v="Evening"/>
    <n v="1"/>
    <x v="2"/>
    <x v="2"/>
    <n v="24"/>
    <x v="0"/>
    <x v="3"/>
    <s v="Our Old Time Diner Blend Lg"/>
    <s v="3"/>
    <x v="4"/>
    <s v="Weekend"/>
  </r>
  <r>
    <x v="499"/>
    <d v="2023-01-01T00:00:00"/>
    <n v="2023"/>
    <n v="1"/>
    <s v="Jan"/>
    <n v="1"/>
    <s v="Sun"/>
    <d v="2026-06-30T20:41:28"/>
    <n v="18"/>
    <s v="Evening"/>
    <n v="2"/>
    <x v="1"/>
    <x v="1"/>
    <n v="49"/>
    <x v="1"/>
    <x v="6"/>
    <s v="English Breakfast Lg"/>
    <s v="3"/>
    <x v="0"/>
    <s v="Weekend"/>
  </r>
  <r>
    <x v="500"/>
    <d v="2023-01-01T00:00:00"/>
    <n v="2023"/>
    <n v="1"/>
    <s v="Jan"/>
    <n v="1"/>
    <s v="Sun"/>
    <d v="2026-06-30T20:42:04"/>
    <n v="18"/>
    <s v="Evening"/>
    <n v="2"/>
    <x v="2"/>
    <x v="2"/>
    <n v="60"/>
    <x v="2"/>
    <x v="2"/>
    <s v="Sustainably Grown Organic Rg"/>
    <s v="3.75"/>
    <x v="16"/>
    <s v="Weekend"/>
  </r>
  <r>
    <x v="501"/>
    <d v="2023-01-01T00:00:00"/>
    <n v="2023"/>
    <n v="1"/>
    <s v="Jan"/>
    <n v="1"/>
    <s v="Sun"/>
    <d v="2026-06-30T20:42:16"/>
    <n v="18"/>
    <s v="Evening"/>
    <n v="1"/>
    <x v="1"/>
    <x v="1"/>
    <n v="54"/>
    <x v="1"/>
    <x v="1"/>
    <s v="Morning Sunrise Chai Rg"/>
    <s v="2.5"/>
    <x v="11"/>
    <s v="Weekend"/>
  </r>
  <r>
    <x v="502"/>
    <d v="2023-01-01T00:00:00"/>
    <n v="2023"/>
    <n v="1"/>
    <s v="Jan"/>
    <n v="1"/>
    <s v="Sun"/>
    <d v="2026-06-30T20:43:19"/>
    <n v="18"/>
    <s v="Evening"/>
    <n v="1"/>
    <x v="2"/>
    <x v="2"/>
    <n v="57"/>
    <x v="1"/>
    <x v="1"/>
    <s v="Spicy Eye Opener Chai Lg"/>
    <s v="3.1"/>
    <x v="9"/>
    <s v="Weekend"/>
  </r>
  <r>
    <x v="503"/>
    <d v="2023-01-01T00:00:00"/>
    <n v="2023"/>
    <n v="1"/>
    <s v="Jan"/>
    <n v="1"/>
    <s v="Sun"/>
    <d v="2026-06-30T20:43:42"/>
    <n v="18"/>
    <s v="Evening"/>
    <n v="1"/>
    <x v="2"/>
    <x v="2"/>
    <n v="25"/>
    <x v="0"/>
    <x v="11"/>
    <s v="Brazilian Sm"/>
    <s v="2.2"/>
    <x v="23"/>
    <s v="Weekend"/>
  </r>
  <r>
    <x v="504"/>
    <d v="2023-01-01T00:00:00"/>
    <n v="2023"/>
    <n v="1"/>
    <s v="Jan"/>
    <n v="1"/>
    <s v="Sun"/>
    <d v="2026-06-30T20:45:11"/>
    <n v="18"/>
    <s v="Evening"/>
    <n v="2"/>
    <x v="2"/>
    <x v="2"/>
    <n v="38"/>
    <x v="0"/>
    <x v="5"/>
    <s v="Latte"/>
    <s v="3.75"/>
    <x v="16"/>
    <s v="Weekend"/>
  </r>
  <r>
    <x v="505"/>
    <d v="2023-01-01T00:00:00"/>
    <n v="2023"/>
    <n v="1"/>
    <s v="Jan"/>
    <n v="1"/>
    <s v="Sun"/>
    <d v="2026-06-30T20:49:48"/>
    <n v="18"/>
    <s v="Evening"/>
    <n v="1"/>
    <x v="2"/>
    <x v="2"/>
    <n v="27"/>
    <x v="0"/>
    <x v="11"/>
    <s v="Brazilian Lg"/>
    <s v="3.5"/>
    <x v="15"/>
    <s v="Weekend"/>
  </r>
  <r>
    <x v="506"/>
    <d v="2023-01-01T00:00:00"/>
    <n v="2023"/>
    <n v="1"/>
    <s v="Jan"/>
    <n v="1"/>
    <s v="Sun"/>
    <d v="2026-06-30T20:51:23"/>
    <n v="18"/>
    <s v="Evening"/>
    <n v="2"/>
    <x v="2"/>
    <x v="2"/>
    <n v="24"/>
    <x v="0"/>
    <x v="3"/>
    <s v="Our Old Time Diner Blend Lg"/>
    <s v="3"/>
    <x v="0"/>
    <s v="Weekend"/>
  </r>
  <r>
    <x v="507"/>
    <d v="2023-01-01T00:00:00"/>
    <n v="2023"/>
    <n v="1"/>
    <s v="Jan"/>
    <n v="1"/>
    <s v="Sun"/>
    <d v="2026-06-30T20:51:41"/>
    <n v="18"/>
    <s v="Evening"/>
    <n v="1"/>
    <x v="2"/>
    <x v="2"/>
    <n v="28"/>
    <x v="0"/>
    <x v="0"/>
    <s v="Columbian Medium Roast Sm"/>
    <s v="2"/>
    <x v="3"/>
    <s v="Weekend"/>
  </r>
  <r>
    <x v="508"/>
    <d v="2023-01-01T00:00:00"/>
    <n v="2023"/>
    <n v="1"/>
    <s v="Jan"/>
    <n v="1"/>
    <s v="Sun"/>
    <d v="2026-06-30T20:52:18"/>
    <n v="18"/>
    <s v="Evening"/>
    <n v="2"/>
    <x v="1"/>
    <x v="1"/>
    <n v="22"/>
    <x v="0"/>
    <x v="3"/>
    <s v="Our Old Time Diner Blend Sm"/>
    <s v="2"/>
    <x v="5"/>
    <s v="Weekend"/>
  </r>
  <r>
    <x v="509"/>
    <d v="2023-01-01T00:00:00"/>
    <n v="2023"/>
    <n v="1"/>
    <s v="Jan"/>
    <n v="1"/>
    <s v="Sun"/>
    <d v="2026-06-30T20:52:57"/>
    <n v="18"/>
    <s v="Evening"/>
    <n v="2"/>
    <x v="2"/>
    <x v="2"/>
    <n v="59"/>
    <x v="2"/>
    <x v="2"/>
    <s v="Dark chocolate Lg"/>
    <s v="4.5"/>
    <x v="2"/>
    <s v="Weekend"/>
  </r>
  <r>
    <x v="510"/>
    <d v="2023-01-01T00:00:00"/>
    <n v="2023"/>
    <n v="1"/>
    <s v="Jan"/>
    <n v="1"/>
    <s v="Sun"/>
    <d v="2026-06-30T20:55:19"/>
    <n v="18"/>
    <s v="Evening"/>
    <n v="2"/>
    <x v="2"/>
    <x v="2"/>
    <n v="56"/>
    <x v="1"/>
    <x v="1"/>
    <s v="Spicy Eye Opener Chai Rg"/>
    <s v="2.55"/>
    <x v="13"/>
    <s v="Weekend"/>
  </r>
  <r>
    <x v="511"/>
    <d v="2023-01-01T00:00:00"/>
    <n v="2023"/>
    <n v="1"/>
    <s v="Jan"/>
    <n v="1"/>
    <s v="Sun"/>
    <d v="2026-06-30T20:56:24"/>
    <n v="18"/>
    <s v="Evening"/>
    <n v="2"/>
    <x v="1"/>
    <x v="1"/>
    <n v="53"/>
    <x v="1"/>
    <x v="1"/>
    <s v="Traditional Blend Chai Lg"/>
    <s v="3"/>
    <x v="0"/>
    <s v="Weekend"/>
  </r>
  <r>
    <x v="512"/>
    <d v="2023-01-01T00:00:00"/>
    <n v="2023"/>
    <n v="1"/>
    <s v="Jan"/>
    <n v="1"/>
    <s v="Sun"/>
    <d v="2026-06-30T20:56:35"/>
    <n v="18"/>
    <s v="Evening"/>
    <n v="2"/>
    <x v="1"/>
    <x v="1"/>
    <n v="39"/>
    <x v="0"/>
    <x v="5"/>
    <s v="Latte Rg"/>
    <s v="4.25"/>
    <x v="21"/>
    <s v="Weekend"/>
  </r>
  <r>
    <x v="513"/>
    <d v="2023-01-01T00:00:00"/>
    <n v="2023"/>
    <n v="1"/>
    <s v="Jan"/>
    <n v="1"/>
    <s v="Sun"/>
    <d v="2026-06-30T20:56:35"/>
    <n v="18"/>
    <s v="Evening"/>
    <n v="1"/>
    <x v="1"/>
    <x v="1"/>
    <n v="73"/>
    <x v="3"/>
    <x v="10"/>
    <s v="Almond Croissant"/>
    <s v="3.75"/>
    <x v="10"/>
    <s v="Weekend"/>
  </r>
  <r>
    <x v="514"/>
    <d v="2023-01-01T00:00:00"/>
    <n v="2023"/>
    <n v="1"/>
    <s v="Jan"/>
    <n v="1"/>
    <s v="Sun"/>
    <d v="2026-06-30T21:00:27"/>
    <n v="19"/>
    <s v="Evening"/>
    <n v="1"/>
    <x v="2"/>
    <x v="2"/>
    <n v="43"/>
    <x v="1"/>
    <x v="8"/>
    <s v="Lemon Grass Lg"/>
    <s v="3"/>
    <x v="4"/>
    <s v="Weekend"/>
  </r>
  <r>
    <x v="515"/>
    <d v="2023-01-01T00:00:00"/>
    <n v="2023"/>
    <n v="1"/>
    <s v="Jan"/>
    <n v="1"/>
    <s v="Sun"/>
    <d v="2026-06-30T21:02:52"/>
    <n v="19"/>
    <s v="Evening"/>
    <n v="2"/>
    <x v="1"/>
    <x v="1"/>
    <n v="37"/>
    <x v="0"/>
    <x v="5"/>
    <s v="Espresso shot"/>
    <s v="3"/>
    <x v="0"/>
    <s v="Weekend"/>
  </r>
  <r>
    <x v="516"/>
    <d v="2023-01-01T00:00:00"/>
    <n v="2023"/>
    <n v="1"/>
    <s v="Jan"/>
    <n v="1"/>
    <s v="Sun"/>
    <d v="2026-06-30T21:06:58"/>
    <n v="19"/>
    <s v="Evening"/>
    <n v="1"/>
    <x v="1"/>
    <x v="1"/>
    <n v="38"/>
    <x v="0"/>
    <x v="5"/>
    <s v="Latte"/>
    <s v="3.75"/>
    <x v="10"/>
    <s v="Weekend"/>
  </r>
  <r>
    <x v="517"/>
    <d v="2023-01-01T00:00:00"/>
    <n v="2023"/>
    <n v="1"/>
    <s v="Jan"/>
    <n v="1"/>
    <s v="Sun"/>
    <d v="2026-06-30T21:07:26"/>
    <n v="19"/>
    <s v="Evening"/>
    <n v="2"/>
    <x v="1"/>
    <x v="1"/>
    <n v="24"/>
    <x v="0"/>
    <x v="3"/>
    <s v="Our Old Time Diner Blend Lg"/>
    <s v="3"/>
    <x v="0"/>
    <s v="Weekend"/>
  </r>
  <r>
    <x v="518"/>
    <d v="2023-01-01T00:00:00"/>
    <n v="2023"/>
    <n v="1"/>
    <s v="Jan"/>
    <n v="1"/>
    <s v="Sun"/>
    <d v="2026-06-30T21:07:40"/>
    <n v="19"/>
    <s v="Evening"/>
    <n v="1"/>
    <x v="2"/>
    <x v="2"/>
    <n v="55"/>
    <x v="1"/>
    <x v="1"/>
    <s v="Morning Sunrise Chai Lg"/>
    <s v="4"/>
    <x v="5"/>
    <s v="Weekend"/>
  </r>
  <r>
    <x v="519"/>
    <d v="2023-01-01T00:00:00"/>
    <n v="2023"/>
    <n v="1"/>
    <s v="Jan"/>
    <n v="1"/>
    <s v="Sun"/>
    <d v="2026-06-30T21:08:11"/>
    <n v="19"/>
    <s v="Evening"/>
    <n v="2"/>
    <x v="1"/>
    <x v="1"/>
    <n v="27"/>
    <x v="0"/>
    <x v="11"/>
    <s v="Brazilian Lg"/>
    <s v="3.5"/>
    <x v="7"/>
    <s v="Weekend"/>
  </r>
  <r>
    <x v="520"/>
    <d v="2023-01-01T00:00:00"/>
    <n v="2023"/>
    <n v="1"/>
    <s v="Jan"/>
    <n v="1"/>
    <s v="Sun"/>
    <d v="2026-06-30T21:08:56"/>
    <n v="19"/>
    <s v="Evening"/>
    <n v="1"/>
    <x v="2"/>
    <x v="2"/>
    <n v="60"/>
    <x v="2"/>
    <x v="2"/>
    <s v="Sustainably Grown Organic Rg"/>
    <s v="3.75"/>
    <x v="10"/>
    <s v="Weekend"/>
  </r>
  <r>
    <x v="521"/>
    <d v="2023-01-01T00:00:00"/>
    <n v="2023"/>
    <n v="1"/>
    <s v="Jan"/>
    <n v="1"/>
    <s v="Sun"/>
    <d v="2026-06-30T21:09:54"/>
    <n v="19"/>
    <s v="Evening"/>
    <n v="1"/>
    <x v="1"/>
    <x v="1"/>
    <n v="41"/>
    <x v="0"/>
    <x v="5"/>
    <s v="Cappuccino Lg"/>
    <s v="4.25"/>
    <x v="6"/>
    <s v="Weekend"/>
  </r>
  <r>
    <x v="522"/>
    <d v="2023-01-01T00:00:00"/>
    <n v="2023"/>
    <n v="1"/>
    <s v="Jan"/>
    <n v="1"/>
    <s v="Sun"/>
    <d v="2026-06-30T21:10:16"/>
    <n v="19"/>
    <s v="Evening"/>
    <n v="2"/>
    <x v="2"/>
    <x v="2"/>
    <n v="27"/>
    <x v="0"/>
    <x v="11"/>
    <s v="Brazilian Lg"/>
    <s v="3.5"/>
    <x v="7"/>
    <s v="Weekend"/>
  </r>
  <r>
    <x v="523"/>
    <d v="2023-01-01T00:00:00"/>
    <n v="2023"/>
    <n v="1"/>
    <s v="Jan"/>
    <n v="1"/>
    <s v="Sun"/>
    <d v="2026-06-30T21:10:53"/>
    <n v="19"/>
    <s v="Evening"/>
    <n v="2"/>
    <x v="1"/>
    <x v="1"/>
    <n v="55"/>
    <x v="1"/>
    <x v="1"/>
    <s v="Morning Sunrise Chai Lg"/>
    <s v="4"/>
    <x v="24"/>
    <s v="Weekend"/>
  </r>
  <r>
    <x v="524"/>
    <d v="2023-01-01T00:00:00"/>
    <n v="2023"/>
    <n v="1"/>
    <s v="Jan"/>
    <n v="1"/>
    <s v="Sun"/>
    <d v="2026-06-30T21:12:49"/>
    <n v="19"/>
    <s v="Evening"/>
    <n v="2"/>
    <x v="2"/>
    <x v="2"/>
    <n v="40"/>
    <x v="0"/>
    <x v="5"/>
    <s v="Cappuccino"/>
    <s v="3.75"/>
    <x v="16"/>
    <s v="Weekend"/>
  </r>
  <r>
    <x v="525"/>
    <d v="2023-01-01T00:00:00"/>
    <n v="2023"/>
    <n v="1"/>
    <s v="Jan"/>
    <n v="1"/>
    <s v="Sun"/>
    <d v="2026-06-30T21:14:09"/>
    <n v="19"/>
    <s v="Evening"/>
    <n v="2"/>
    <x v="2"/>
    <x v="2"/>
    <n v="32"/>
    <x v="0"/>
    <x v="0"/>
    <s v="Ethiopia Rg"/>
    <s v="3"/>
    <x v="0"/>
    <s v="Weekend"/>
  </r>
  <r>
    <x v="526"/>
    <d v="2023-01-01T00:00:00"/>
    <n v="2023"/>
    <n v="1"/>
    <s v="Jan"/>
    <n v="1"/>
    <s v="Sun"/>
    <d v="2026-06-30T21:15:15"/>
    <n v="19"/>
    <s v="Evening"/>
    <n v="1"/>
    <x v="2"/>
    <x v="2"/>
    <n v="55"/>
    <x v="1"/>
    <x v="1"/>
    <s v="Morning Sunrise Chai Lg"/>
    <s v="4"/>
    <x v="5"/>
    <s v="Weekend"/>
  </r>
  <r>
    <x v="527"/>
    <d v="2023-01-01T00:00:00"/>
    <n v="2023"/>
    <n v="1"/>
    <s v="Jan"/>
    <n v="1"/>
    <s v="Sun"/>
    <d v="2026-06-30T21:21:35"/>
    <n v="19"/>
    <s v="Evening"/>
    <n v="1"/>
    <x v="1"/>
    <x v="1"/>
    <n v="49"/>
    <x v="1"/>
    <x v="6"/>
    <s v="English Breakfast Lg"/>
    <s v="3"/>
    <x v="4"/>
    <s v="Weekend"/>
  </r>
  <r>
    <x v="528"/>
    <d v="2023-01-01T00:00:00"/>
    <n v="2023"/>
    <n v="1"/>
    <s v="Jan"/>
    <n v="1"/>
    <s v="Sun"/>
    <d v="2026-06-30T21:22:39"/>
    <n v="19"/>
    <s v="Evening"/>
    <n v="1"/>
    <x v="1"/>
    <x v="1"/>
    <n v="40"/>
    <x v="0"/>
    <x v="5"/>
    <s v="Cappuccino"/>
    <s v="3.75"/>
    <x v="10"/>
    <s v="Weekend"/>
  </r>
  <r>
    <x v="529"/>
    <d v="2023-01-01T00:00:00"/>
    <n v="2023"/>
    <n v="1"/>
    <s v="Jan"/>
    <n v="1"/>
    <s v="Sun"/>
    <d v="2026-06-30T21:24:18"/>
    <n v="19"/>
    <s v="Evening"/>
    <n v="1"/>
    <x v="1"/>
    <x v="1"/>
    <n v="46"/>
    <x v="1"/>
    <x v="7"/>
    <s v="Serenity Green Tea Rg"/>
    <s v="2.5"/>
    <x v="11"/>
    <s v="Weekend"/>
  </r>
  <r>
    <x v="530"/>
    <d v="2023-01-01T00:00:00"/>
    <n v="2023"/>
    <n v="1"/>
    <s v="Jan"/>
    <n v="1"/>
    <s v="Sun"/>
    <d v="2026-06-30T21:24:18"/>
    <n v="19"/>
    <s v="Evening"/>
    <n v="1"/>
    <x v="1"/>
    <x v="1"/>
    <n v="77"/>
    <x v="3"/>
    <x v="4"/>
    <s v="Oatmeal Scone"/>
    <s v="3"/>
    <x v="4"/>
    <s v="Weekend"/>
  </r>
  <r>
    <x v="531"/>
    <d v="2023-01-01T00:00:00"/>
    <n v="2023"/>
    <n v="1"/>
    <s v="Jan"/>
    <n v="1"/>
    <s v="Sun"/>
    <d v="2026-06-30T21:29:01"/>
    <n v="19"/>
    <s v="Evening"/>
    <n v="2"/>
    <x v="2"/>
    <x v="2"/>
    <n v="44"/>
    <x v="1"/>
    <x v="8"/>
    <s v="Peppermint Rg"/>
    <s v="2.5"/>
    <x v="17"/>
    <s v="Weekend"/>
  </r>
  <r>
    <x v="532"/>
    <d v="2023-01-01T00:00:00"/>
    <n v="2023"/>
    <n v="1"/>
    <s v="Jan"/>
    <n v="1"/>
    <s v="Sun"/>
    <d v="2026-06-30T21:29:07"/>
    <n v="19"/>
    <s v="Evening"/>
    <n v="1"/>
    <x v="2"/>
    <x v="2"/>
    <n v="38"/>
    <x v="0"/>
    <x v="5"/>
    <s v="Latte"/>
    <s v="3.75"/>
    <x v="10"/>
    <s v="Weekend"/>
  </r>
  <r>
    <x v="533"/>
    <d v="2023-01-01T00:00:00"/>
    <n v="2023"/>
    <n v="1"/>
    <s v="Jan"/>
    <n v="1"/>
    <s v="Sun"/>
    <d v="2026-06-30T21:30:55"/>
    <n v="19"/>
    <s v="Evening"/>
    <n v="2"/>
    <x v="2"/>
    <x v="2"/>
    <n v="51"/>
    <x v="1"/>
    <x v="6"/>
    <s v="Earl Grey Lg"/>
    <s v="3"/>
    <x v="0"/>
    <s v="Weekend"/>
  </r>
  <r>
    <x v="534"/>
    <d v="2023-01-01T00:00:00"/>
    <n v="2023"/>
    <n v="1"/>
    <s v="Jan"/>
    <n v="1"/>
    <s v="Sun"/>
    <d v="2026-06-30T21:34:03"/>
    <n v="19"/>
    <s v="Evening"/>
    <n v="1"/>
    <x v="1"/>
    <x v="1"/>
    <n v="43"/>
    <x v="1"/>
    <x v="8"/>
    <s v="Lemon Grass Lg"/>
    <s v="3"/>
    <x v="4"/>
    <s v="Weekend"/>
  </r>
  <r>
    <x v="535"/>
    <d v="2023-01-01T00:00:00"/>
    <n v="2023"/>
    <n v="1"/>
    <s v="Jan"/>
    <n v="1"/>
    <s v="Sun"/>
    <d v="2026-06-30T21:34:39"/>
    <n v="19"/>
    <s v="Evening"/>
    <n v="2"/>
    <x v="1"/>
    <x v="1"/>
    <n v="61"/>
    <x v="2"/>
    <x v="2"/>
    <s v="Sustainably Grown Organic Lg"/>
    <s v="4.75"/>
    <x v="22"/>
    <s v="Weekend"/>
  </r>
  <r>
    <x v="536"/>
    <d v="2023-01-01T00:00:00"/>
    <n v="2023"/>
    <n v="1"/>
    <s v="Jan"/>
    <n v="1"/>
    <s v="Sun"/>
    <d v="2026-06-30T21:34:48"/>
    <n v="19"/>
    <s v="Evening"/>
    <n v="1"/>
    <x v="2"/>
    <x v="2"/>
    <n v="40"/>
    <x v="0"/>
    <x v="5"/>
    <s v="Cappuccino"/>
    <s v="3.75"/>
    <x v="10"/>
    <s v="Weekend"/>
  </r>
  <r>
    <x v="537"/>
    <d v="2023-01-01T00:00:00"/>
    <n v="2023"/>
    <n v="1"/>
    <s v="Jan"/>
    <n v="1"/>
    <s v="Sun"/>
    <d v="2026-06-30T21:35:55"/>
    <n v="19"/>
    <s v="Evening"/>
    <n v="2"/>
    <x v="1"/>
    <x v="1"/>
    <n v="27"/>
    <x v="0"/>
    <x v="11"/>
    <s v="Brazilian Lg"/>
    <s v="3.5"/>
    <x v="7"/>
    <s v="Weekend"/>
  </r>
  <r>
    <x v="538"/>
    <d v="2023-01-01T00:00:00"/>
    <n v="2023"/>
    <n v="1"/>
    <s v="Jan"/>
    <n v="1"/>
    <s v="Sun"/>
    <d v="2026-06-30T21:37:51"/>
    <n v="19"/>
    <s v="Evening"/>
    <n v="1"/>
    <x v="2"/>
    <x v="2"/>
    <n v="60"/>
    <x v="2"/>
    <x v="2"/>
    <s v="Sustainably Grown Organic Rg"/>
    <s v="3.75"/>
    <x v="10"/>
    <s v="Weekend"/>
  </r>
  <r>
    <x v="539"/>
    <d v="2023-01-01T00:00:00"/>
    <n v="2023"/>
    <n v="1"/>
    <s v="Jan"/>
    <n v="1"/>
    <s v="Sun"/>
    <d v="2026-06-30T21:38:46"/>
    <n v="19"/>
    <s v="Evening"/>
    <n v="2"/>
    <x v="2"/>
    <x v="2"/>
    <n v="55"/>
    <x v="1"/>
    <x v="1"/>
    <s v="Morning Sunrise Chai Lg"/>
    <s v="4"/>
    <x v="24"/>
    <s v="Weekend"/>
  </r>
  <r>
    <x v="540"/>
    <d v="2023-01-01T00:00:00"/>
    <n v="2023"/>
    <n v="1"/>
    <s v="Jan"/>
    <n v="1"/>
    <s v="Sun"/>
    <d v="2026-06-30T21:39:00"/>
    <n v="19"/>
    <s v="Evening"/>
    <n v="2"/>
    <x v="2"/>
    <x v="2"/>
    <n v="47"/>
    <x v="1"/>
    <x v="7"/>
    <s v="Serenity Green Tea Lg"/>
    <s v="3"/>
    <x v="0"/>
    <s v="Weekend"/>
  </r>
  <r>
    <x v="541"/>
    <d v="2023-01-01T00:00:00"/>
    <n v="2023"/>
    <n v="1"/>
    <s v="Jan"/>
    <n v="1"/>
    <s v="Sun"/>
    <d v="2026-06-30T21:39:32"/>
    <n v="19"/>
    <s v="Evening"/>
    <n v="1"/>
    <x v="2"/>
    <x v="2"/>
    <n v="37"/>
    <x v="0"/>
    <x v="5"/>
    <s v="Espresso shot"/>
    <s v="3"/>
    <x v="4"/>
    <s v="Weekend"/>
  </r>
  <r>
    <x v="542"/>
    <d v="2023-01-01T00:00:00"/>
    <n v="2023"/>
    <n v="1"/>
    <s v="Jan"/>
    <n v="1"/>
    <s v="Sun"/>
    <d v="2026-06-30T21:43:29"/>
    <n v="19"/>
    <s v="Evening"/>
    <n v="1"/>
    <x v="2"/>
    <x v="2"/>
    <n v="54"/>
    <x v="1"/>
    <x v="1"/>
    <s v="Morning Sunrise Chai Rg"/>
    <s v="2.5"/>
    <x v="11"/>
    <s v="Weekend"/>
  </r>
  <r>
    <x v="543"/>
    <d v="2023-01-01T00:00:00"/>
    <n v="2023"/>
    <n v="1"/>
    <s v="Jan"/>
    <n v="1"/>
    <s v="Sun"/>
    <d v="2026-06-30T21:44:41"/>
    <n v="19"/>
    <s v="Evening"/>
    <n v="1"/>
    <x v="1"/>
    <x v="1"/>
    <n v="61"/>
    <x v="2"/>
    <x v="2"/>
    <s v="Sustainably Grown Organic Lg"/>
    <s v="4.75"/>
    <x v="12"/>
    <s v="Weekend"/>
  </r>
  <r>
    <x v="544"/>
    <d v="2023-01-01T00:00:00"/>
    <n v="2023"/>
    <n v="1"/>
    <s v="Jan"/>
    <n v="1"/>
    <s v="Sun"/>
    <d v="2026-06-30T21:45:28"/>
    <n v="19"/>
    <s v="Evening"/>
    <n v="1"/>
    <x v="1"/>
    <x v="1"/>
    <n v="26"/>
    <x v="0"/>
    <x v="11"/>
    <s v="Brazilian Rg"/>
    <s v="3"/>
    <x v="4"/>
    <s v="Weekend"/>
  </r>
  <r>
    <x v="545"/>
    <d v="2023-01-01T00:00:00"/>
    <n v="2023"/>
    <n v="1"/>
    <s v="Jan"/>
    <n v="1"/>
    <s v="Sun"/>
    <d v="2026-06-30T21:49:37"/>
    <n v="19"/>
    <s v="Evening"/>
    <n v="1"/>
    <x v="2"/>
    <x v="2"/>
    <n v="36"/>
    <x v="0"/>
    <x v="12"/>
    <s v="Jamaican Coffee River Lg"/>
    <s v="3.75"/>
    <x v="10"/>
    <s v="Weekend"/>
  </r>
  <r>
    <x v="546"/>
    <d v="2023-01-01T00:00:00"/>
    <n v="2023"/>
    <n v="1"/>
    <s v="Jan"/>
    <n v="1"/>
    <s v="Sun"/>
    <d v="2026-06-30T21:52:47"/>
    <n v="19"/>
    <s v="Evening"/>
    <n v="1"/>
    <x v="1"/>
    <x v="1"/>
    <n v="32"/>
    <x v="0"/>
    <x v="0"/>
    <s v="Ethiopia Rg"/>
    <s v="3"/>
    <x v="4"/>
    <s v="Weekend"/>
  </r>
  <r>
    <x v="547"/>
    <d v="2023-01-01T00:00:00"/>
    <n v="2023"/>
    <n v="1"/>
    <s v="Jan"/>
    <n v="1"/>
    <s v="Sun"/>
    <d v="2026-06-30T21:57:56"/>
    <n v="19"/>
    <s v="Evening"/>
    <n v="1"/>
    <x v="2"/>
    <x v="2"/>
    <n v="35"/>
    <x v="0"/>
    <x v="12"/>
    <s v="Jamaican Coffee River Rg"/>
    <s v="3.1"/>
    <x v="9"/>
    <s v="Weekend"/>
  </r>
  <r>
    <x v="548"/>
    <d v="2023-01-01T00:00:00"/>
    <n v="2023"/>
    <n v="1"/>
    <s v="Jan"/>
    <n v="1"/>
    <s v="Sun"/>
    <d v="2026-06-30T21:58:29"/>
    <n v="19"/>
    <s v="Evening"/>
    <n v="1"/>
    <x v="2"/>
    <x v="2"/>
    <n v="55"/>
    <x v="1"/>
    <x v="1"/>
    <s v="Morning Sunrise Chai Lg"/>
    <s v="4"/>
    <x v="5"/>
    <s v="Weekend"/>
  </r>
  <r>
    <x v="549"/>
    <d v="2023-01-01T00:00:00"/>
    <n v="2023"/>
    <n v="1"/>
    <s v="Jan"/>
    <n v="1"/>
    <s v="Sun"/>
    <d v="2026-06-30T21:58:52"/>
    <n v="19"/>
    <s v="Evening"/>
    <n v="1"/>
    <x v="2"/>
    <x v="2"/>
    <n v="39"/>
    <x v="0"/>
    <x v="5"/>
    <s v="Latte Rg"/>
    <s v="4.25"/>
    <x v="6"/>
    <s v="Weekend"/>
  </r>
  <r>
    <x v="550"/>
    <d v="2023-01-02T00:00:00"/>
    <n v="2023"/>
    <n v="1"/>
    <s v="Jan"/>
    <n v="2"/>
    <s v="Mon"/>
    <d v="2026-06-30T09:01:59"/>
    <n v="7"/>
    <s v="Morning"/>
    <n v="1"/>
    <x v="0"/>
    <x v="0"/>
    <n v="87"/>
    <x v="0"/>
    <x v="5"/>
    <s v="Ouro Brasileiro shot"/>
    <s v="3"/>
    <x v="4"/>
    <s v="Weekday"/>
  </r>
  <r>
    <x v="551"/>
    <d v="2023-01-02T00:00:00"/>
    <n v="2023"/>
    <n v="1"/>
    <s v="Jan"/>
    <n v="2"/>
    <s v="Mon"/>
    <d v="2026-06-30T09:12:05"/>
    <n v="7"/>
    <s v="Morning"/>
    <n v="1"/>
    <x v="0"/>
    <x v="0"/>
    <n v="51"/>
    <x v="1"/>
    <x v="6"/>
    <s v="Earl Grey Lg"/>
    <s v="3"/>
    <x v="4"/>
    <s v="Weekday"/>
  </r>
  <r>
    <x v="552"/>
    <d v="2023-01-02T00:00:00"/>
    <n v="2023"/>
    <n v="1"/>
    <s v="Jan"/>
    <n v="2"/>
    <s v="Mon"/>
    <d v="2026-06-30T09:16:35"/>
    <n v="7"/>
    <s v="Morning"/>
    <n v="2"/>
    <x v="0"/>
    <x v="0"/>
    <n v="28"/>
    <x v="0"/>
    <x v="0"/>
    <s v="Columbian Medium Roast Sm"/>
    <s v="2"/>
    <x v="5"/>
    <s v="Weekday"/>
  </r>
  <r>
    <x v="553"/>
    <d v="2023-01-02T00:00:00"/>
    <n v="2023"/>
    <n v="1"/>
    <s v="Jan"/>
    <n v="2"/>
    <s v="Mon"/>
    <d v="2026-06-30T09:16:46"/>
    <n v="7"/>
    <s v="Morning"/>
    <n v="1"/>
    <x v="0"/>
    <x v="0"/>
    <n v="57"/>
    <x v="1"/>
    <x v="1"/>
    <s v="Spicy Eye Opener Chai Lg"/>
    <s v="3.1"/>
    <x v="9"/>
    <s v="Weekday"/>
  </r>
  <r>
    <x v="554"/>
    <d v="2023-01-02T00:00:00"/>
    <n v="2023"/>
    <n v="1"/>
    <s v="Jan"/>
    <n v="2"/>
    <s v="Mon"/>
    <d v="2026-06-30T09:16:46"/>
    <n v="7"/>
    <s v="Morning"/>
    <n v="1"/>
    <x v="0"/>
    <x v="0"/>
    <n v="70"/>
    <x v="3"/>
    <x v="4"/>
    <s v="Cranberry Scone"/>
    <s v="3.25"/>
    <x v="14"/>
    <s v="Weekday"/>
  </r>
  <r>
    <x v="555"/>
    <d v="2023-01-02T00:00:00"/>
    <n v="2023"/>
    <n v="1"/>
    <s v="Jan"/>
    <n v="2"/>
    <s v="Mon"/>
    <d v="2026-06-30T09:22:08"/>
    <n v="7"/>
    <s v="Morning"/>
    <n v="2"/>
    <x v="0"/>
    <x v="0"/>
    <n v="61"/>
    <x v="2"/>
    <x v="2"/>
    <s v="Sustainably Grown Organic Lg"/>
    <s v="4.75"/>
    <x v="22"/>
    <s v="Weekday"/>
  </r>
  <r>
    <x v="556"/>
    <d v="2023-01-02T00:00:00"/>
    <n v="2023"/>
    <n v="1"/>
    <s v="Jan"/>
    <n v="2"/>
    <s v="Mon"/>
    <d v="2026-06-30T09:22:45"/>
    <n v="7"/>
    <s v="Morning"/>
    <n v="1"/>
    <x v="0"/>
    <x v="0"/>
    <n v="42"/>
    <x v="1"/>
    <x v="8"/>
    <s v="Lemon Grass Rg"/>
    <s v="2.5"/>
    <x v="11"/>
    <s v="Weekday"/>
  </r>
  <r>
    <x v="557"/>
    <d v="2023-01-02T00:00:00"/>
    <n v="2023"/>
    <n v="1"/>
    <s v="Jan"/>
    <n v="2"/>
    <s v="Mon"/>
    <d v="2026-06-30T09:25:59"/>
    <n v="7"/>
    <s v="Morning"/>
    <n v="1"/>
    <x v="0"/>
    <x v="0"/>
    <n v="24"/>
    <x v="0"/>
    <x v="3"/>
    <s v="Our Old Time Diner Blend Lg"/>
    <s v="3"/>
    <x v="4"/>
    <s v="Weekday"/>
  </r>
  <r>
    <x v="558"/>
    <d v="2023-01-02T00:00:00"/>
    <n v="2023"/>
    <n v="1"/>
    <s v="Jan"/>
    <n v="2"/>
    <s v="Mon"/>
    <d v="2026-06-30T09:35:10"/>
    <n v="7"/>
    <s v="Morning"/>
    <n v="1"/>
    <x v="0"/>
    <x v="0"/>
    <n v="53"/>
    <x v="1"/>
    <x v="1"/>
    <s v="Traditional Blend Chai Lg"/>
    <s v="3"/>
    <x v="4"/>
    <s v="Weekday"/>
  </r>
  <r>
    <x v="559"/>
    <d v="2023-01-02T00:00:00"/>
    <n v="2023"/>
    <n v="1"/>
    <s v="Jan"/>
    <n v="2"/>
    <s v="Mon"/>
    <d v="2026-06-30T09:48:26"/>
    <n v="7"/>
    <s v="Morning"/>
    <n v="1"/>
    <x v="0"/>
    <x v="0"/>
    <n v="41"/>
    <x v="0"/>
    <x v="5"/>
    <s v="Cappuccino Lg"/>
    <s v="4.25"/>
    <x v="6"/>
    <s v="Weekday"/>
  </r>
  <r>
    <x v="560"/>
    <d v="2023-01-02T00:00:00"/>
    <n v="2023"/>
    <n v="1"/>
    <s v="Jan"/>
    <n v="2"/>
    <s v="Mon"/>
    <d v="2026-06-30T09:48:26"/>
    <n v="7"/>
    <s v="Morning"/>
    <n v="1"/>
    <x v="0"/>
    <x v="0"/>
    <n v="75"/>
    <x v="3"/>
    <x v="10"/>
    <s v="Croissant"/>
    <s v="3.5"/>
    <x v="15"/>
    <s v="Weekday"/>
  </r>
  <r>
    <x v="561"/>
    <d v="2023-01-02T00:00:00"/>
    <n v="2023"/>
    <n v="1"/>
    <s v="Jan"/>
    <n v="2"/>
    <s v="Mon"/>
    <d v="2026-06-30T09:53:48"/>
    <n v="7"/>
    <s v="Morning"/>
    <n v="2"/>
    <x v="0"/>
    <x v="0"/>
    <n v="27"/>
    <x v="0"/>
    <x v="11"/>
    <s v="Brazilian Lg"/>
    <s v="3.5"/>
    <x v="7"/>
    <s v="Weekday"/>
  </r>
  <r>
    <x v="562"/>
    <d v="2023-01-02T00:00:00"/>
    <n v="2023"/>
    <n v="1"/>
    <s v="Jan"/>
    <n v="2"/>
    <s v="Mon"/>
    <d v="2026-06-30T09:59:47"/>
    <n v="7"/>
    <s v="Morning"/>
    <n v="1"/>
    <x v="0"/>
    <x v="0"/>
    <n v="48"/>
    <x v="1"/>
    <x v="6"/>
    <s v="English Breakfast Rg"/>
    <s v="2.5"/>
    <x v="11"/>
    <s v="Weekday"/>
  </r>
  <r>
    <x v="563"/>
    <d v="2023-01-02T00:00:00"/>
    <n v="2023"/>
    <n v="1"/>
    <s v="Jan"/>
    <n v="2"/>
    <s v="Mon"/>
    <d v="2026-06-30T09:59:47"/>
    <n v="7"/>
    <s v="Morning"/>
    <n v="1"/>
    <x v="0"/>
    <x v="0"/>
    <n v="75"/>
    <x v="3"/>
    <x v="10"/>
    <s v="Croissant"/>
    <s v="3.5"/>
    <x v="15"/>
    <s v="Weekday"/>
  </r>
  <r>
    <x v="564"/>
    <d v="2023-01-02T00:00:00"/>
    <n v="2023"/>
    <n v="1"/>
    <s v="Jan"/>
    <n v="2"/>
    <s v="Mon"/>
    <d v="2026-06-30T10:03:47"/>
    <n v="8"/>
    <s v="Morning"/>
    <n v="2"/>
    <x v="1"/>
    <x v="1"/>
    <n v="32"/>
    <x v="0"/>
    <x v="0"/>
    <s v="Ethiopia Rg"/>
    <s v="3"/>
    <x v="0"/>
    <s v="Weekday"/>
  </r>
  <r>
    <x v="565"/>
    <d v="2023-01-02T00:00:00"/>
    <n v="2023"/>
    <n v="1"/>
    <s v="Jan"/>
    <n v="2"/>
    <s v="Mon"/>
    <d v="2026-06-30T10:04:06"/>
    <n v="8"/>
    <s v="Morning"/>
    <n v="2"/>
    <x v="1"/>
    <x v="1"/>
    <n v="31"/>
    <x v="0"/>
    <x v="0"/>
    <s v="Ethiopia Sm"/>
    <s v="2.2"/>
    <x v="19"/>
    <s v="Weekday"/>
  </r>
  <r>
    <x v="566"/>
    <d v="2023-01-02T00:00:00"/>
    <n v="2023"/>
    <n v="1"/>
    <s v="Jan"/>
    <n v="2"/>
    <s v="Mon"/>
    <d v="2026-06-30T10:04:55"/>
    <n v="8"/>
    <s v="Morning"/>
    <n v="1"/>
    <x v="1"/>
    <x v="1"/>
    <n v="25"/>
    <x v="0"/>
    <x v="11"/>
    <s v="Brazilian Sm"/>
    <s v="2.2"/>
    <x v="23"/>
    <s v="Weekday"/>
  </r>
  <r>
    <x v="567"/>
    <d v="2023-01-02T00:00:00"/>
    <n v="2023"/>
    <n v="1"/>
    <s v="Jan"/>
    <n v="2"/>
    <s v="Mon"/>
    <d v="2026-06-30T10:04:59"/>
    <n v="8"/>
    <s v="Morning"/>
    <n v="1"/>
    <x v="0"/>
    <x v="0"/>
    <n v="61"/>
    <x v="2"/>
    <x v="2"/>
    <s v="Sustainably Grown Organic Lg"/>
    <s v="4.75"/>
    <x v="12"/>
    <s v="Weekday"/>
  </r>
  <r>
    <x v="568"/>
    <d v="2023-01-02T00:00:00"/>
    <n v="2023"/>
    <n v="1"/>
    <s v="Jan"/>
    <n v="2"/>
    <s v="Mon"/>
    <d v="2026-06-30T10:09:46"/>
    <n v="8"/>
    <s v="Morning"/>
    <n v="1"/>
    <x v="0"/>
    <x v="0"/>
    <n v="48"/>
    <x v="1"/>
    <x v="6"/>
    <s v="English Breakfast Rg"/>
    <s v="2.5"/>
    <x v="11"/>
    <s v="Weekday"/>
  </r>
  <r>
    <x v="569"/>
    <d v="2023-01-02T00:00:00"/>
    <n v="2023"/>
    <n v="1"/>
    <s v="Jan"/>
    <n v="2"/>
    <s v="Mon"/>
    <d v="2026-06-30T10:09:51"/>
    <n v="8"/>
    <s v="Morning"/>
    <n v="1"/>
    <x v="0"/>
    <x v="0"/>
    <n v="61"/>
    <x v="2"/>
    <x v="2"/>
    <s v="Sustainably Grown Organic Lg"/>
    <s v="4.75"/>
    <x v="12"/>
    <s v="Weekday"/>
  </r>
  <r>
    <x v="570"/>
    <d v="2023-01-02T00:00:00"/>
    <n v="2023"/>
    <n v="1"/>
    <s v="Jan"/>
    <n v="2"/>
    <s v="Mon"/>
    <d v="2026-06-30T10:11:11"/>
    <n v="8"/>
    <s v="Morning"/>
    <n v="2"/>
    <x v="1"/>
    <x v="1"/>
    <n v="61"/>
    <x v="2"/>
    <x v="2"/>
    <s v="Sustainably Grown Organic Lg"/>
    <s v="4.75"/>
    <x v="22"/>
    <s v="Weekday"/>
  </r>
  <r>
    <x v="571"/>
    <d v="2023-01-02T00:00:00"/>
    <n v="2023"/>
    <n v="1"/>
    <s v="Jan"/>
    <n v="2"/>
    <s v="Mon"/>
    <d v="2026-06-30T10:11:11"/>
    <n v="8"/>
    <s v="Morning"/>
    <n v="1"/>
    <x v="1"/>
    <x v="1"/>
    <n v="74"/>
    <x v="3"/>
    <x v="9"/>
    <s v="Ginger Biscotti"/>
    <s v="3.5"/>
    <x v="15"/>
    <s v="Weekday"/>
  </r>
  <r>
    <x v="572"/>
    <d v="2023-01-02T00:00:00"/>
    <n v="2023"/>
    <n v="1"/>
    <s v="Jan"/>
    <n v="2"/>
    <s v="Mon"/>
    <d v="2026-06-30T10:13:24"/>
    <n v="8"/>
    <s v="Morning"/>
    <n v="1"/>
    <x v="1"/>
    <x v="1"/>
    <n v="27"/>
    <x v="0"/>
    <x v="11"/>
    <s v="Brazilian Lg"/>
    <s v="3.5"/>
    <x v="15"/>
    <s v="Weekday"/>
  </r>
  <r>
    <x v="573"/>
    <d v="2023-01-02T00:00:00"/>
    <n v="2023"/>
    <n v="1"/>
    <s v="Jan"/>
    <n v="2"/>
    <s v="Mon"/>
    <d v="2026-06-30T10:14:13"/>
    <n v="8"/>
    <s v="Morning"/>
    <n v="1"/>
    <x v="0"/>
    <x v="0"/>
    <n v="55"/>
    <x v="1"/>
    <x v="1"/>
    <s v="Morning Sunrise Chai Lg"/>
    <s v="4"/>
    <x v="5"/>
    <s v="Weekday"/>
  </r>
  <r>
    <x v="574"/>
    <d v="2023-01-02T00:00:00"/>
    <n v="2023"/>
    <n v="1"/>
    <s v="Jan"/>
    <n v="2"/>
    <s v="Mon"/>
    <d v="2026-06-30T10:15:07"/>
    <n v="8"/>
    <s v="Morning"/>
    <n v="1"/>
    <x v="1"/>
    <x v="1"/>
    <n v="36"/>
    <x v="0"/>
    <x v="12"/>
    <s v="Jamaican Coffee River Lg"/>
    <s v="3.75"/>
    <x v="10"/>
    <s v="Weekday"/>
  </r>
  <r>
    <x v="575"/>
    <d v="2023-01-02T00:00:00"/>
    <n v="2023"/>
    <n v="1"/>
    <s v="Jan"/>
    <n v="2"/>
    <s v="Mon"/>
    <d v="2026-06-30T10:15:10"/>
    <n v="8"/>
    <s v="Morning"/>
    <n v="2"/>
    <x v="1"/>
    <x v="1"/>
    <n v="30"/>
    <x v="0"/>
    <x v="0"/>
    <s v="Columbian Medium Roast Lg"/>
    <s v="3"/>
    <x v="0"/>
    <s v="Weekday"/>
  </r>
  <r>
    <x v="576"/>
    <d v="2023-01-02T00:00:00"/>
    <n v="2023"/>
    <n v="1"/>
    <s v="Jan"/>
    <n v="2"/>
    <s v="Mon"/>
    <d v="2026-06-30T10:17:28"/>
    <n v="8"/>
    <s v="Morning"/>
    <n v="1"/>
    <x v="1"/>
    <x v="1"/>
    <n v="44"/>
    <x v="1"/>
    <x v="8"/>
    <s v="Peppermint Rg"/>
    <s v="2.5"/>
    <x v="11"/>
    <s v="Weekday"/>
  </r>
  <r>
    <x v="577"/>
    <d v="2023-01-02T00:00:00"/>
    <n v="2023"/>
    <n v="1"/>
    <s v="Jan"/>
    <n v="2"/>
    <s v="Mon"/>
    <d v="2026-06-30T10:20:38"/>
    <n v="8"/>
    <s v="Morning"/>
    <n v="2"/>
    <x v="0"/>
    <x v="0"/>
    <n v="44"/>
    <x v="1"/>
    <x v="8"/>
    <s v="Peppermint Rg"/>
    <s v="2.5"/>
    <x v="17"/>
    <s v="Weekday"/>
  </r>
  <r>
    <x v="578"/>
    <d v="2023-01-02T00:00:00"/>
    <n v="2023"/>
    <n v="1"/>
    <s v="Jan"/>
    <n v="2"/>
    <s v="Mon"/>
    <d v="2026-06-30T10:21:32"/>
    <n v="8"/>
    <s v="Morning"/>
    <n v="2"/>
    <x v="1"/>
    <x v="1"/>
    <n v="38"/>
    <x v="0"/>
    <x v="5"/>
    <s v="Latte"/>
    <s v="3.75"/>
    <x v="16"/>
    <s v="Weekday"/>
  </r>
  <r>
    <x v="579"/>
    <d v="2023-01-02T00:00:00"/>
    <n v="2023"/>
    <n v="1"/>
    <s v="Jan"/>
    <n v="2"/>
    <s v="Mon"/>
    <d v="2026-06-30T10:23:15"/>
    <n v="8"/>
    <s v="Morning"/>
    <n v="1"/>
    <x v="1"/>
    <x v="1"/>
    <n v="26"/>
    <x v="0"/>
    <x v="11"/>
    <s v="Brazilian Rg"/>
    <s v="3"/>
    <x v="4"/>
    <s v="Weekday"/>
  </r>
  <r>
    <x v="580"/>
    <d v="2023-01-02T00:00:00"/>
    <n v="2023"/>
    <n v="1"/>
    <s v="Jan"/>
    <n v="2"/>
    <s v="Mon"/>
    <d v="2026-06-30T10:25:22"/>
    <n v="8"/>
    <s v="Morning"/>
    <n v="1"/>
    <x v="0"/>
    <x v="0"/>
    <n v="25"/>
    <x v="0"/>
    <x v="11"/>
    <s v="Brazilian Sm"/>
    <s v="2.2"/>
    <x v="23"/>
    <s v="Weekday"/>
  </r>
  <r>
    <x v="581"/>
    <d v="2023-01-02T00:00:00"/>
    <n v="2023"/>
    <n v="1"/>
    <s v="Jan"/>
    <n v="2"/>
    <s v="Mon"/>
    <d v="2026-06-30T10:26:13"/>
    <n v="8"/>
    <s v="Morning"/>
    <n v="2"/>
    <x v="0"/>
    <x v="0"/>
    <n v="28"/>
    <x v="0"/>
    <x v="0"/>
    <s v="Columbian Medium Roast Sm"/>
    <s v="2"/>
    <x v="5"/>
    <s v="Weekday"/>
  </r>
  <r>
    <x v="582"/>
    <d v="2023-01-02T00:00:00"/>
    <n v="2023"/>
    <n v="1"/>
    <s v="Jan"/>
    <n v="2"/>
    <s v="Mon"/>
    <d v="2026-06-30T10:26:21"/>
    <n v="8"/>
    <s v="Morning"/>
    <n v="2"/>
    <x v="1"/>
    <x v="1"/>
    <n v="31"/>
    <x v="0"/>
    <x v="0"/>
    <s v="Ethiopia Sm"/>
    <s v="2.2"/>
    <x v="19"/>
    <s v="Weekday"/>
  </r>
  <r>
    <x v="583"/>
    <d v="2023-01-02T00:00:00"/>
    <n v="2023"/>
    <n v="1"/>
    <s v="Jan"/>
    <n v="2"/>
    <s v="Mon"/>
    <d v="2026-06-30T10:30:10"/>
    <n v="8"/>
    <s v="Morning"/>
    <n v="1"/>
    <x v="0"/>
    <x v="0"/>
    <n v="29"/>
    <x v="0"/>
    <x v="0"/>
    <s v="Columbian Medium Roast Rg"/>
    <s v="2.5"/>
    <x v="11"/>
    <s v="Weekday"/>
  </r>
  <r>
    <x v="584"/>
    <d v="2023-01-02T00:00:00"/>
    <n v="2023"/>
    <n v="1"/>
    <s v="Jan"/>
    <n v="2"/>
    <s v="Mon"/>
    <d v="2026-06-30T10:31:35"/>
    <n v="8"/>
    <s v="Morning"/>
    <n v="1"/>
    <x v="1"/>
    <x v="1"/>
    <n v="35"/>
    <x v="0"/>
    <x v="12"/>
    <s v="Jamaican Coffee River Rg"/>
    <s v="3.1"/>
    <x v="9"/>
    <s v="Weekday"/>
  </r>
  <r>
    <x v="585"/>
    <d v="2023-01-02T00:00:00"/>
    <n v="2023"/>
    <n v="1"/>
    <s v="Jan"/>
    <n v="2"/>
    <s v="Mon"/>
    <d v="2026-06-30T10:34:25"/>
    <n v="8"/>
    <s v="Morning"/>
    <n v="2"/>
    <x v="1"/>
    <x v="1"/>
    <n v="25"/>
    <x v="0"/>
    <x v="11"/>
    <s v="Brazilian Sm"/>
    <s v="2.2"/>
    <x v="19"/>
    <s v="Weekday"/>
  </r>
  <r>
    <x v="586"/>
    <d v="2023-01-02T00:00:00"/>
    <n v="2023"/>
    <n v="1"/>
    <s v="Jan"/>
    <n v="2"/>
    <s v="Mon"/>
    <d v="2026-06-30T10:34:30"/>
    <n v="8"/>
    <s v="Morning"/>
    <n v="1"/>
    <x v="1"/>
    <x v="1"/>
    <n v="48"/>
    <x v="1"/>
    <x v="6"/>
    <s v="English Breakfast Rg"/>
    <s v="2.5"/>
    <x v="11"/>
    <s v="Weekday"/>
  </r>
  <r>
    <x v="587"/>
    <d v="2023-01-02T00:00:00"/>
    <n v="2023"/>
    <n v="1"/>
    <s v="Jan"/>
    <n v="2"/>
    <s v="Mon"/>
    <d v="2026-06-30T10:43:50"/>
    <n v="8"/>
    <s v="Morning"/>
    <n v="1"/>
    <x v="1"/>
    <x v="1"/>
    <n v="32"/>
    <x v="0"/>
    <x v="0"/>
    <s v="Ethiopia Rg"/>
    <s v="3"/>
    <x v="4"/>
    <s v="Weekday"/>
  </r>
  <r>
    <x v="588"/>
    <d v="2023-01-02T00:00:00"/>
    <n v="2023"/>
    <n v="1"/>
    <s v="Jan"/>
    <n v="2"/>
    <s v="Mon"/>
    <d v="2026-06-30T10:51:31"/>
    <n v="8"/>
    <s v="Morning"/>
    <n v="2"/>
    <x v="0"/>
    <x v="0"/>
    <n v="32"/>
    <x v="0"/>
    <x v="0"/>
    <s v="Ethiopia Rg"/>
    <s v="3"/>
    <x v="0"/>
    <s v="Weekday"/>
  </r>
  <r>
    <x v="589"/>
    <d v="2023-01-02T00:00:00"/>
    <n v="2023"/>
    <n v="1"/>
    <s v="Jan"/>
    <n v="2"/>
    <s v="Mon"/>
    <d v="2026-06-30T10:55:40"/>
    <n v="8"/>
    <s v="Morning"/>
    <n v="1"/>
    <x v="0"/>
    <x v="0"/>
    <n v="28"/>
    <x v="0"/>
    <x v="0"/>
    <s v="Columbian Medium Roast Sm"/>
    <s v="2"/>
    <x v="3"/>
    <s v="Weekday"/>
  </r>
  <r>
    <x v="590"/>
    <d v="2023-01-02T00:00:00"/>
    <n v="2023"/>
    <n v="1"/>
    <s v="Jan"/>
    <n v="2"/>
    <s v="Mon"/>
    <d v="2026-06-30T11:00:14"/>
    <n v="9"/>
    <s v="Morning"/>
    <n v="1"/>
    <x v="1"/>
    <x v="1"/>
    <n v="39"/>
    <x v="0"/>
    <x v="5"/>
    <s v="Latte Rg"/>
    <s v="4.25"/>
    <x v="6"/>
    <s v="Weekday"/>
  </r>
  <r>
    <x v="591"/>
    <d v="2023-01-02T00:00:00"/>
    <n v="2023"/>
    <n v="1"/>
    <s v="Jan"/>
    <n v="2"/>
    <s v="Mon"/>
    <d v="2026-06-30T11:01:24"/>
    <n v="9"/>
    <s v="Morning"/>
    <n v="1"/>
    <x v="1"/>
    <x v="1"/>
    <n v="53"/>
    <x v="1"/>
    <x v="1"/>
    <s v="Traditional Blend Chai Lg"/>
    <s v="3"/>
    <x v="4"/>
    <s v="Weekday"/>
  </r>
  <r>
    <x v="592"/>
    <d v="2023-01-02T00:00:00"/>
    <n v="2023"/>
    <n v="1"/>
    <s v="Jan"/>
    <n v="2"/>
    <s v="Mon"/>
    <d v="2026-06-30T11:06:29"/>
    <n v="9"/>
    <s v="Morning"/>
    <n v="1"/>
    <x v="0"/>
    <x v="0"/>
    <n v="33"/>
    <x v="0"/>
    <x v="0"/>
    <s v="Ethiopia Lg"/>
    <s v="3.5"/>
    <x v="15"/>
    <s v="Weekday"/>
  </r>
  <r>
    <x v="593"/>
    <d v="2023-01-02T00:00:00"/>
    <n v="2023"/>
    <n v="1"/>
    <s v="Jan"/>
    <n v="2"/>
    <s v="Mon"/>
    <d v="2026-06-30T11:07:31"/>
    <n v="9"/>
    <s v="Morning"/>
    <n v="2"/>
    <x v="0"/>
    <x v="0"/>
    <n v="37"/>
    <x v="0"/>
    <x v="5"/>
    <s v="Espresso shot"/>
    <s v="3"/>
    <x v="0"/>
    <s v="Weekday"/>
  </r>
  <r>
    <x v="594"/>
    <d v="2023-01-02T00:00:00"/>
    <n v="2023"/>
    <n v="1"/>
    <s v="Jan"/>
    <n v="2"/>
    <s v="Mon"/>
    <d v="2026-06-30T11:11:10"/>
    <n v="9"/>
    <s v="Morning"/>
    <n v="1"/>
    <x v="1"/>
    <x v="1"/>
    <n v="59"/>
    <x v="2"/>
    <x v="2"/>
    <s v="Dark chocolate Lg"/>
    <s v="4.5"/>
    <x v="18"/>
    <s v="Weekday"/>
  </r>
  <r>
    <x v="595"/>
    <d v="2023-01-02T00:00:00"/>
    <n v="2023"/>
    <n v="1"/>
    <s v="Jan"/>
    <n v="2"/>
    <s v="Mon"/>
    <d v="2026-06-30T11:11:10"/>
    <n v="9"/>
    <s v="Morning"/>
    <n v="1"/>
    <x v="1"/>
    <x v="1"/>
    <n v="79"/>
    <x v="3"/>
    <x v="4"/>
    <s v="Jumbo Savory Scone"/>
    <s v="3.75"/>
    <x v="10"/>
    <s v="Weekday"/>
  </r>
  <r>
    <x v="596"/>
    <d v="2023-01-02T00:00:00"/>
    <n v="2023"/>
    <n v="1"/>
    <s v="Jan"/>
    <n v="2"/>
    <s v="Mon"/>
    <d v="2026-06-30T11:11:45"/>
    <n v="9"/>
    <s v="Morning"/>
    <n v="1"/>
    <x v="1"/>
    <x v="1"/>
    <n v="61"/>
    <x v="2"/>
    <x v="2"/>
    <s v="Sustainably Grown Organic Lg"/>
    <s v="4.75"/>
    <x v="12"/>
    <s v="Weekday"/>
  </r>
  <r>
    <x v="597"/>
    <d v="2023-01-02T00:00:00"/>
    <n v="2023"/>
    <n v="1"/>
    <s v="Jan"/>
    <n v="2"/>
    <s v="Mon"/>
    <d v="2026-06-30T11:11:57"/>
    <n v="9"/>
    <s v="Morning"/>
    <n v="2"/>
    <x v="1"/>
    <x v="1"/>
    <n v="34"/>
    <x v="0"/>
    <x v="12"/>
    <s v="Jamaican Coffee River Sm"/>
    <s v="2.45"/>
    <x v="25"/>
    <s v="Weekday"/>
  </r>
  <r>
    <x v="598"/>
    <d v="2023-01-02T00:00:00"/>
    <n v="2023"/>
    <n v="1"/>
    <s v="Jan"/>
    <n v="2"/>
    <s v="Mon"/>
    <d v="2026-06-30T11:11:57"/>
    <n v="9"/>
    <s v="Morning"/>
    <n v="1"/>
    <x v="1"/>
    <x v="1"/>
    <n v="72"/>
    <x v="3"/>
    <x v="4"/>
    <s v="Ginger Scone"/>
    <s v="3.25"/>
    <x v="14"/>
    <s v="Weekday"/>
  </r>
  <r>
    <x v="599"/>
    <d v="2023-01-02T00:00:00"/>
    <n v="2023"/>
    <n v="1"/>
    <s v="Jan"/>
    <n v="2"/>
    <s v="Mon"/>
    <d v="2026-06-30T11:12:47"/>
    <n v="9"/>
    <s v="Morning"/>
    <n v="2"/>
    <x v="0"/>
    <x v="0"/>
    <n v="31"/>
    <x v="0"/>
    <x v="0"/>
    <s v="Ethiopia Sm"/>
    <s v="2.2"/>
    <x v="19"/>
    <s v="Weekday"/>
  </r>
  <r>
    <x v="600"/>
    <d v="2023-01-02T00:00:00"/>
    <n v="2023"/>
    <n v="1"/>
    <s v="Jan"/>
    <n v="2"/>
    <s v="Mon"/>
    <d v="2026-06-30T11:12:47"/>
    <n v="9"/>
    <s v="Morning"/>
    <n v="1"/>
    <x v="0"/>
    <x v="0"/>
    <n v="75"/>
    <x v="3"/>
    <x v="10"/>
    <s v="Croissant"/>
    <s v="3.5"/>
    <x v="15"/>
    <s v="Weekday"/>
  </r>
  <r>
    <x v="601"/>
    <d v="2023-01-02T00:00:00"/>
    <n v="2023"/>
    <n v="1"/>
    <s v="Jan"/>
    <n v="2"/>
    <s v="Mon"/>
    <d v="2026-06-30T11:17:08"/>
    <n v="9"/>
    <s v="Morning"/>
    <n v="1"/>
    <x v="1"/>
    <x v="1"/>
    <n v="46"/>
    <x v="1"/>
    <x v="7"/>
    <s v="Serenity Green Tea Rg"/>
    <s v="2.5"/>
    <x v="11"/>
    <s v="Weekday"/>
  </r>
  <r>
    <x v="602"/>
    <d v="2023-01-02T00:00:00"/>
    <n v="2023"/>
    <n v="1"/>
    <s v="Jan"/>
    <n v="2"/>
    <s v="Mon"/>
    <d v="2026-06-30T11:21:01"/>
    <n v="9"/>
    <s v="Morning"/>
    <n v="1"/>
    <x v="1"/>
    <x v="1"/>
    <n v="55"/>
    <x v="1"/>
    <x v="1"/>
    <s v="Morning Sunrise Chai Lg"/>
    <s v="4"/>
    <x v="5"/>
    <s v="Weekday"/>
  </r>
  <r>
    <x v="603"/>
    <d v="2023-01-02T00:00:00"/>
    <n v="2023"/>
    <n v="1"/>
    <s v="Jan"/>
    <n v="2"/>
    <s v="Mon"/>
    <d v="2026-06-30T11:22:26"/>
    <n v="9"/>
    <s v="Morning"/>
    <n v="1"/>
    <x v="1"/>
    <x v="1"/>
    <n v="40"/>
    <x v="0"/>
    <x v="5"/>
    <s v="Cappuccino"/>
    <s v="3.75"/>
    <x v="10"/>
    <s v="Weekday"/>
  </r>
  <r>
    <x v="604"/>
    <d v="2023-01-02T00:00:00"/>
    <n v="2023"/>
    <n v="1"/>
    <s v="Jan"/>
    <n v="2"/>
    <s v="Mon"/>
    <d v="2026-06-30T11:25:27"/>
    <n v="9"/>
    <s v="Morning"/>
    <n v="1"/>
    <x v="0"/>
    <x v="0"/>
    <n v="29"/>
    <x v="0"/>
    <x v="0"/>
    <s v="Columbian Medium Roast Rg"/>
    <s v="2.5"/>
    <x v="11"/>
    <s v="Weekday"/>
  </r>
  <r>
    <x v="605"/>
    <d v="2023-01-02T00:00:00"/>
    <n v="2023"/>
    <n v="1"/>
    <s v="Jan"/>
    <n v="2"/>
    <s v="Mon"/>
    <d v="2026-06-30T11:26:16"/>
    <n v="9"/>
    <s v="Morning"/>
    <n v="2"/>
    <x v="1"/>
    <x v="1"/>
    <n v="28"/>
    <x v="0"/>
    <x v="0"/>
    <s v="Columbian Medium Roast Sm"/>
    <s v="2"/>
    <x v="5"/>
    <s v="Weekday"/>
  </r>
  <r>
    <x v="606"/>
    <d v="2023-01-02T00:00:00"/>
    <n v="2023"/>
    <n v="1"/>
    <s v="Jan"/>
    <n v="2"/>
    <s v="Mon"/>
    <d v="2026-06-30T11:29:47"/>
    <n v="9"/>
    <s v="Morning"/>
    <n v="2"/>
    <x v="1"/>
    <x v="1"/>
    <n v="22"/>
    <x v="0"/>
    <x v="3"/>
    <s v="Our Old Time Diner Blend Sm"/>
    <s v="2"/>
    <x v="5"/>
    <s v="Weekday"/>
  </r>
  <r>
    <x v="607"/>
    <d v="2023-01-02T00:00:00"/>
    <n v="2023"/>
    <n v="1"/>
    <s v="Jan"/>
    <n v="2"/>
    <s v="Mon"/>
    <d v="2026-06-30T11:29:47"/>
    <n v="9"/>
    <s v="Morning"/>
    <n v="1"/>
    <x v="1"/>
    <x v="1"/>
    <n v="70"/>
    <x v="3"/>
    <x v="4"/>
    <s v="Cranberry Scone"/>
    <s v="3.25"/>
    <x v="14"/>
    <s v="Weekday"/>
  </r>
  <r>
    <x v="608"/>
    <d v="2023-01-02T00:00:00"/>
    <n v="2023"/>
    <n v="1"/>
    <s v="Jan"/>
    <n v="2"/>
    <s v="Mon"/>
    <d v="2026-06-30T11:31:37"/>
    <n v="9"/>
    <s v="Morning"/>
    <n v="2"/>
    <x v="1"/>
    <x v="1"/>
    <n v="59"/>
    <x v="2"/>
    <x v="2"/>
    <s v="Dark chocolate Lg"/>
    <s v="4.5"/>
    <x v="2"/>
    <s v="Weekday"/>
  </r>
  <r>
    <x v="609"/>
    <d v="2023-01-02T00:00:00"/>
    <n v="2023"/>
    <n v="1"/>
    <s v="Jan"/>
    <n v="2"/>
    <s v="Mon"/>
    <d v="2026-06-30T11:33:57"/>
    <n v="9"/>
    <s v="Morning"/>
    <n v="2"/>
    <x v="1"/>
    <x v="1"/>
    <n v="23"/>
    <x v="0"/>
    <x v="3"/>
    <s v="Our Old Time Diner Blend Rg"/>
    <s v="2.5"/>
    <x v="17"/>
    <s v="Weekday"/>
  </r>
  <r>
    <x v="610"/>
    <d v="2023-01-02T00:00:00"/>
    <n v="2023"/>
    <n v="1"/>
    <s v="Jan"/>
    <n v="2"/>
    <s v="Mon"/>
    <d v="2026-06-30T11:36:26"/>
    <n v="9"/>
    <s v="Morning"/>
    <n v="1"/>
    <x v="1"/>
    <x v="1"/>
    <n v="87"/>
    <x v="0"/>
    <x v="5"/>
    <s v="Ouro Brasileiro shot"/>
    <s v="3"/>
    <x v="4"/>
    <s v="Weekday"/>
  </r>
  <r>
    <x v="611"/>
    <d v="2023-01-02T00:00:00"/>
    <n v="2023"/>
    <n v="1"/>
    <s v="Jan"/>
    <n v="2"/>
    <s v="Mon"/>
    <d v="2026-06-30T11:38:46"/>
    <n v="9"/>
    <s v="Morning"/>
    <n v="2"/>
    <x v="1"/>
    <x v="1"/>
    <n v="87"/>
    <x v="0"/>
    <x v="5"/>
    <s v="Ouro Brasileiro shot"/>
    <s v="3"/>
    <x v="0"/>
    <s v="Weekday"/>
  </r>
  <r>
    <x v="612"/>
    <d v="2023-01-02T00:00:00"/>
    <n v="2023"/>
    <n v="1"/>
    <s v="Jan"/>
    <n v="2"/>
    <s v="Mon"/>
    <d v="2026-06-30T11:40:52"/>
    <n v="9"/>
    <s v="Morning"/>
    <n v="1"/>
    <x v="0"/>
    <x v="0"/>
    <n v="48"/>
    <x v="1"/>
    <x v="6"/>
    <s v="English Breakfast Rg"/>
    <s v="2.5"/>
    <x v="11"/>
    <s v="Weekday"/>
  </r>
  <r>
    <x v="613"/>
    <d v="2023-01-02T00:00:00"/>
    <n v="2023"/>
    <n v="1"/>
    <s v="Jan"/>
    <n v="2"/>
    <s v="Mon"/>
    <d v="2026-06-30T11:45:34"/>
    <n v="9"/>
    <s v="Morning"/>
    <n v="1"/>
    <x v="0"/>
    <x v="0"/>
    <n v="30"/>
    <x v="0"/>
    <x v="0"/>
    <s v="Columbian Medium Roast Lg"/>
    <s v="3"/>
    <x v="4"/>
    <s v="Weekday"/>
  </r>
  <r>
    <x v="614"/>
    <d v="2023-01-02T00:00:00"/>
    <n v="2023"/>
    <n v="1"/>
    <s v="Jan"/>
    <n v="2"/>
    <s v="Mon"/>
    <d v="2026-06-30T11:46:33"/>
    <n v="9"/>
    <s v="Morning"/>
    <n v="2"/>
    <x v="1"/>
    <x v="1"/>
    <n v="48"/>
    <x v="1"/>
    <x v="6"/>
    <s v="English Breakfast Rg"/>
    <s v="2.5"/>
    <x v="17"/>
    <s v="Weekday"/>
  </r>
  <r>
    <x v="615"/>
    <d v="2023-01-02T00:00:00"/>
    <n v="2023"/>
    <n v="1"/>
    <s v="Jan"/>
    <n v="2"/>
    <s v="Mon"/>
    <d v="2026-06-30T11:48:46"/>
    <n v="9"/>
    <s v="Morning"/>
    <n v="2"/>
    <x v="1"/>
    <x v="1"/>
    <n v="32"/>
    <x v="0"/>
    <x v="0"/>
    <s v="Ethiopia Rg"/>
    <s v="3"/>
    <x v="0"/>
    <s v="Weekday"/>
  </r>
  <r>
    <x v="616"/>
    <d v="2023-01-02T00:00:00"/>
    <n v="2023"/>
    <n v="1"/>
    <s v="Jan"/>
    <n v="2"/>
    <s v="Mon"/>
    <d v="2026-06-30T11:50:09"/>
    <n v="9"/>
    <s v="Morning"/>
    <n v="1"/>
    <x v="1"/>
    <x v="1"/>
    <n v="27"/>
    <x v="0"/>
    <x v="11"/>
    <s v="Brazilian Lg"/>
    <s v="3.5"/>
    <x v="15"/>
    <s v="Weekday"/>
  </r>
  <r>
    <x v="617"/>
    <d v="2023-01-02T00:00:00"/>
    <n v="2023"/>
    <n v="1"/>
    <s v="Jan"/>
    <n v="2"/>
    <s v="Mon"/>
    <d v="2026-06-30T11:50:57"/>
    <n v="9"/>
    <s v="Morning"/>
    <n v="1"/>
    <x v="0"/>
    <x v="0"/>
    <n v="23"/>
    <x v="0"/>
    <x v="3"/>
    <s v="Our Old Time Diner Blend Rg"/>
    <s v="2.5"/>
    <x v="11"/>
    <s v="Weekday"/>
  </r>
  <r>
    <x v="618"/>
    <d v="2023-01-02T00:00:00"/>
    <n v="2023"/>
    <n v="1"/>
    <s v="Jan"/>
    <n v="2"/>
    <s v="Mon"/>
    <d v="2026-06-30T11:52:17"/>
    <n v="9"/>
    <s v="Morning"/>
    <n v="1"/>
    <x v="0"/>
    <x v="0"/>
    <n v="26"/>
    <x v="0"/>
    <x v="11"/>
    <s v="Brazilian Rg"/>
    <s v="3"/>
    <x v="4"/>
    <s v="Weekday"/>
  </r>
  <r>
    <x v="619"/>
    <d v="2023-01-02T00:00:00"/>
    <n v="2023"/>
    <n v="1"/>
    <s v="Jan"/>
    <n v="2"/>
    <s v="Mon"/>
    <d v="2026-06-30T11:54:48"/>
    <n v="9"/>
    <s v="Morning"/>
    <n v="1"/>
    <x v="1"/>
    <x v="1"/>
    <n v="34"/>
    <x v="0"/>
    <x v="12"/>
    <s v="Jamaican Coffee River Sm"/>
    <s v="2.45"/>
    <x v="20"/>
    <s v="Weekday"/>
  </r>
  <r>
    <x v="620"/>
    <d v="2023-01-02T00:00:00"/>
    <n v="2023"/>
    <n v="1"/>
    <s v="Jan"/>
    <n v="2"/>
    <s v="Mon"/>
    <d v="2026-06-30T11:56:28"/>
    <n v="9"/>
    <s v="Morning"/>
    <n v="2"/>
    <x v="1"/>
    <x v="1"/>
    <n v="41"/>
    <x v="0"/>
    <x v="5"/>
    <s v="Cappuccino Lg"/>
    <s v="4.25"/>
    <x v="21"/>
    <s v="Weekday"/>
  </r>
  <r>
    <x v="621"/>
    <d v="2023-01-02T00:00:00"/>
    <n v="2023"/>
    <n v="1"/>
    <s v="Jan"/>
    <n v="2"/>
    <s v="Mon"/>
    <d v="2026-06-30T11:56:45"/>
    <n v="9"/>
    <s v="Morning"/>
    <n v="1"/>
    <x v="0"/>
    <x v="0"/>
    <n v="51"/>
    <x v="1"/>
    <x v="6"/>
    <s v="Earl Grey Lg"/>
    <s v="3"/>
    <x v="4"/>
    <s v="Weekday"/>
  </r>
  <r>
    <x v="622"/>
    <d v="2023-01-02T00:00:00"/>
    <n v="2023"/>
    <n v="1"/>
    <s v="Jan"/>
    <n v="2"/>
    <s v="Mon"/>
    <d v="2026-06-30T11:58:47"/>
    <n v="9"/>
    <s v="Morning"/>
    <n v="2"/>
    <x v="0"/>
    <x v="0"/>
    <n v="37"/>
    <x v="0"/>
    <x v="5"/>
    <s v="Espresso shot"/>
    <s v="3"/>
    <x v="0"/>
    <s v="Weekday"/>
  </r>
  <r>
    <x v="623"/>
    <d v="2023-01-02T00:00:00"/>
    <n v="2023"/>
    <n v="1"/>
    <s v="Jan"/>
    <n v="2"/>
    <s v="Mon"/>
    <d v="2026-06-30T12:01:57"/>
    <n v="10"/>
    <s v="Morning"/>
    <n v="1"/>
    <x v="1"/>
    <x v="1"/>
    <n v="61"/>
    <x v="2"/>
    <x v="2"/>
    <s v="Sustainably Grown Organic Lg"/>
    <s v="4.75"/>
    <x v="12"/>
    <s v="Weekday"/>
  </r>
  <r>
    <x v="624"/>
    <d v="2023-01-02T00:00:00"/>
    <n v="2023"/>
    <n v="1"/>
    <s v="Jan"/>
    <n v="2"/>
    <s v="Mon"/>
    <d v="2026-06-30T12:03:39"/>
    <n v="10"/>
    <s v="Morning"/>
    <n v="1"/>
    <x v="1"/>
    <x v="1"/>
    <n v="30"/>
    <x v="0"/>
    <x v="0"/>
    <s v="Columbian Medium Roast Lg"/>
    <s v="3"/>
    <x v="4"/>
    <s v="Weekday"/>
  </r>
  <r>
    <x v="625"/>
    <d v="2023-01-02T00:00:00"/>
    <n v="2023"/>
    <n v="1"/>
    <s v="Jan"/>
    <n v="2"/>
    <s v="Mon"/>
    <d v="2026-06-30T12:03:39"/>
    <n v="10"/>
    <s v="Morning"/>
    <n v="1"/>
    <x v="1"/>
    <x v="1"/>
    <n v="76"/>
    <x v="3"/>
    <x v="9"/>
    <s v="Chocolate Chip Biscotti"/>
    <s v="3.5"/>
    <x v="15"/>
    <s v="Weekday"/>
  </r>
  <r>
    <x v="626"/>
    <d v="2023-01-02T00:00:00"/>
    <n v="2023"/>
    <n v="1"/>
    <s v="Jan"/>
    <n v="2"/>
    <s v="Mon"/>
    <d v="2026-06-30T12:05:11"/>
    <n v="10"/>
    <s v="Morning"/>
    <n v="1"/>
    <x v="0"/>
    <x v="0"/>
    <n v="58"/>
    <x v="2"/>
    <x v="2"/>
    <s v="Dark chocolate Rg"/>
    <s v="3.5"/>
    <x v="15"/>
    <s v="Weekday"/>
  </r>
  <r>
    <x v="627"/>
    <d v="2023-01-02T00:00:00"/>
    <n v="2023"/>
    <n v="1"/>
    <s v="Jan"/>
    <n v="2"/>
    <s v="Mon"/>
    <d v="2026-06-30T12:05:22"/>
    <n v="10"/>
    <s v="Morning"/>
    <n v="1"/>
    <x v="0"/>
    <x v="0"/>
    <n v="55"/>
    <x v="1"/>
    <x v="1"/>
    <s v="Morning Sunrise Chai Lg"/>
    <s v="4"/>
    <x v="5"/>
    <s v="Weekday"/>
  </r>
  <r>
    <x v="628"/>
    <d v="2023-01-02T00:00:00"/>
    <n v="2023"/>
    <n v="1"/>
    <s v="Jan"/>
    <n v="2"/>
    <s v="Mon"/>
    <d v="2026-06-30T12:07:28"/>
    <n v="10"/>
    <s v="Morning"/>
    <n v="1"/>
    <x v="0"/>
    <x v="0"/>
    <n v="26"/>
    <x v="0"/>
    <x v="11"/>
    <s v="Brazilian Rg"/>
    <s v="3"/>
    <x v="4"/>
    <s v="Weekday"/>
  </r>
  <r>
    <x v="629"/>
    <d v="2023-01-02T00:00:00"/>
    <n v="2023"/>
    <n v="1"/>
    <s v="Jan"/>
    <n v="2"/>
    <s v="Mon"/>
    <d v="2026-06-30T12:08:23"/>
    <n v="10"/>
    <s v="Morning"/>
    <n v="1"/>
    <x v="1"/>
    <x v="1"/>
    <n v="43"/>
    <x v="1"/>
    <x v="8"/>
    <s v="Lemon Grass Lg"/>
    <s v="3"/>
    <x v="4"/>
    <s v="Weekday"/>
  </r>
  <r>
    <x v="630"/>
    <d v="2023-01-02T00:00:00"/>
    <n v="2023"/>
    <n v="1"/>
    <s v="Jan"/>
    <n v="2"/>
    <s v="Mon"/>
    <d v="2026-06-30T12:10:47"/>
    <n v="10"/>
    <s v="Morning"/>
    <n v="2"/>
    <x v="1"/>
    <x v="1"/>
    <n v="56"/>
    <x v="1"/>
    <x v="1"/>
    <s v="Spicy Eye Opener Chai Rg"/>
    <s v="2.55"/>
    <x v="13"/>
    <s v="Weekday"/>
  </r>
  <r>
    <x v="631"/>
    <d v="2023-01-02T00:00:00"/>
    <n v="2023"/>
    <n v="1"/>
    <s v="Jan"/>
    <n v="2"/>
    <s v="Mon"/>
    <d v="2026-06-30T12:13:55"/>
    <n v="10"/>
    <s v="Morning"/>
    <n v="2"/>
    <x v="0"/>
    <x v="0"/>
    <n v="26"/>
    <x v="0"/>
    <x v="11"/>
    <s v="Brazilian Rg"/>
    <s v="3"/>
    <x v="0"/>
    <s v="Weekday"/>
  </r>
  <r>
    <x v="632"/>
    <d v="2023-01-02T00:00:00"/>
    <n v="2023"/>
    <n v="1"/>
    <s v="Jan"/>
    <n v="2"/>
    <s v="Mon"/>
    <d v="2026-06-30T12:13:55"/>
    <n v="10"/>
    <s v="Morning"/>
    <n v="1"/>
    <x v="0"/>
    <x v="0"/>
    <n v="79"/>
    <x v="3"/>
    <x v="4"/>
    <s v="Jumbo Savory Scone"/>
    <s v="3.75"/>
    <x v="10"/>
    <s v="Weekday"/>
  </r>
  <r>
    <x v="633"/>
    <d v="2023-01-02T00:00:00"/>
    <n v="2023"/>
    <n v="1"/>
    <s v="Jan"/>
    <n v="2"/>
    <s v="Mon"/>
    <d v="2026-06-30T12:16:43"/>
    <n v="10"/>
    <s v="Morning"/>
    <n v="1"/>
    <x v="0"/>
    <x v="0"/>
    <n v="28"/>
    <x v="0"/>
    <x v="0"/>
    <s v="Columbian Medium Roast Sm"/>
    <s v="2"/>
    <x v="3"/>
    <s v="Weekday"/>
  </r>
  <r>
    <x v="634"/>
    <d v="2023-01-02T00:00:00"/>
    <n v="2023"/>
    <n v="1"/>
    <s v="Jan"/>
    <n v="2"/>
    <s v="Mon"/>
    <d v="2026-06-30T12:19:33"/>
    <n v="10"/>
    <s v="Morning"/>
    <n v="1"/>
    <x v="1"/>
    <x v="1"/>
    <n v="61"/>
    <x v="2"/>
    <x v="2"/>
    <s v="Sustainably Grown Organic Lg"/>
    <s v="4.75"/>
    <x v="12"/>
    <s v="Weekday"/>
  </r>
  <r>
    <x v="635"/>
    <d v="2023-01-02T00:00:00"/>
    <n v="2023"/>
    <n v="1"/>
    <s v="Jan"/>
    <n v="2"/>
    <s v="Mon"/>
    <d v="2026-06-30T12:20:52"/>
    <n v="10"/>
    <s v="Morning"/>
    <n v="2"/>
    <x v="1"/>
    <x v="1"/>
    <n v="42"/>
    <x v="1"/>
    <x v="8"/>
    <s v="Lemon Grass Rg"/>
    <s v="2.5"/>
    <x v="17"/>
    <s v="Weekday"/>
  </r>
  <r>
    <x v="636"/>
    <d v="2023-01-02T00:00:00"/>
    <n v="2023"/>
    <n v="1"/>
    <s v="Jan"/>
    <n v="2"/>
    <s v="Mon"/>
    <d v="2026-06-30T12:22:19"/>
    <n v="10"/>
    <s v="Morning"/>
    <n v="1"/>
    <x v="0"/>
    <x v="0"/>
    <n v="23"/>
    <x v="0"/>
    <x v="3"/>
    <s v="Our Old Time Diner Blend Rg"/>
    <s v="2.5"/>
    <x v="11"/>
    <s v="Weekday"/>
  </r>
  <r>
    <x v="637"/>
    <d v="2023-01-02T00:00:00"/>
    <n v="2023"/>
    <n v="1"/>
    <s v="Jan"/>
    <n v="2"/>
    <s v="Mon"/>
    <d v="2026-06-30T12:26:49"/>
    <n v="10"/>
    <s v="Morning"/>
    <n v="1"/>
    <x v="0"/>
    <x v="0"/>
    <n v="23"/>
    <x v="0"/>
    <x v="3"/>
    <s v="Our Old Time Diner Blend Rg"/>
    <s v="2.5"/>
    <x v="11"/>
    <s v="Weekday"/>
  </r>
  <r>
    <x v="638"/>
    <d v="2023-01-02T00:00:00"/>
    <n v="2023"/>
    <n v="1"/>
    <s v="Jan"/>
    <n v="2"/>
    <s v="Mon"/>
    <d v="2026-06-30T12:27:05"/>
    <n v="10"/>
    <s v="Morning"/>
    <n v="1"/>
    <x v="0"/>
    <x v="0"/>
    <n v="25"/>
    <x v="0"/>
    <x v="11"/>
    <s v="Brazilian Sm"/>
    <s v="2.2"/>
    <x v="23"/>
    <s v="Weekday"/>
  </r>
  <r>
    <x v="639"/>
    <d v="2023-01-02T00:00:00"/>
    <n v="2023"/>
    <n v="1"/>
    <s v="Jan"/>
    <n v="2"/>
    <s v="Mon"/>
    <d v="2026-06-30T12:28:41"/>
    <n v="10"/>
    <s v="Morning"/>
    <n v="1"/>
    <x v="1"/>
    <x v="1"/>
    <n v="42"/>
    <x v="1"/>
    <x v="8"/>
    <s v="Lemon Grass Rg"/>
    <s v="2.5"/>
    <x v="11"/>
    <s v="Weekday"/>
  </r>
  <r>
    <x v="640"/>
    <d v="2023-01-02T00:00:00"/>
    <n v="2023"/>
    <n v="1"/>
    <s v="Jan"/>
    <n v="2"/>
    <s v="Mon"/>
    <d v="2026-06-30T12:30:39"/>
    <n v="10"/>
    <s v="Morning"/>
    <n v="2"/>
    <x v="1"/>
    <x v="1"/>
    <n v="44"/>
    <x v="1"/>
    <x v="8"/>
    <s v="Peppermint Rg"/>
    <s v="2.5"/>
    <x v="17"/>
    <s v="Weekday"/>
  </r>
  <r>
    <x v="641"/>
    <d v="2023-01-02T00:00:00"/>
    <n v="2023"/>
    <n v="1"/>
    <s v="Jan"/>
    <n v="2"/>
    <s v="Mon"/>
    <d v="2026-06-30T12:36:18"/>
    <n v="10"/>
    <s v="Morning"/>
    <n v="2"/>
    <x v="1"/>
    <x v="1"/>
    <n v="50"/>
    <x v="1"/>
    <x v="6"/>
    <s v="Earl Grey Rg"/>
    <s v="2.5"/>
    <x v="17"/>
    <s v="Weekday"/>
  </r>
  <r>
    <x v="642"/>
    <d v="2023-01-02T00:00:00"/>
    <n v="2023"/>
    <n v="1"/>
    <s v="Jan"/>
    <n v="2"/>
    <s v="Mon"/>
    <d v="2026-06-30T12:36:44"/>
    <n v="10"/>
    <s v="Morning"/>
    <n v="1"/>
    <x v="0"/>
    <x v="0"/>
    <n v="51"/>
    <x v="1"/>
    <x v="6"/>
    <s v="Earl Grey Lg"/>
    <s v="3"/>
    <x v="4"/>
    <s v="Weekday"/>
  </r>
  <r>
    <x v="643"/>
    <d v="2023-01-02T00:00:00"/>
    <n v="2023"/>
    <n v="1"/>
    <s v="Jan"/>
    <n v="2"/>
    <s v="Mon"/>
    <d v="2026-06-30T12:38:55"/>
    <n v="10"/>
    <s v="Morning"/>
    <n v="2"/>
    <x v="1"/>
    <x v="1"/>
    <n v="51"/>
    <x v="1"/>
    <x v="6"/>
    <s v="Earl Grey Lg"/>
    <s v="3"/>
    <x v="0"/>
    <s v="Weekday"/>
  </r>
  <r>
    <x v="644"/>
    <d v="2023-01-02T00:00:00"/>
    <n v="2023"/>
    <n v="1"/>
    <s v="Jan"/>
    <n v="2"/>
    <s v="Mon"/>
    <d v="2026-06-30T12:48:57"/>
    <n v="10"/>
    <s v="Morning"/>
    <n v="1"/>
    <x v="0"/>
    <x v="0"/>
    <n v="53"/>
    <x v="1"/>
    <x v="1"/>
    <s v="Traditional Blend Chai Lg"/>
    <s v="3"/>
    <x v="4"/>
    <s v="Weekday"/>
  </r>
  <r>
    <x v="645"/>
    <d v="2023-01-02T00:00:00"/>
    <n v="2023"/>
    <n v="1"/>
    <s v="Jan"/>
    <n v="2"/>
    <s v="Mon"/>
    <d v="2026-06-30T12:49:58"/>
    <n v="10"/>
    <s v="Morning"/>
    <n v="1"/>
    <x v="1"/>
    <x v="1"/>
    <n v="32"/>
    <x v="0"/>
    <x v="0"/>
    <s v="Ethiopia Rg"/>
    <s v="3"/>
    <x v="4"/>
    <s v="Weekday"/>
  </r>
  <r>
    <x v="646"/>
    <d v="2023-01-02T00:00:00"/>
    <n v="2023"/>
    <n v="1"/>
    <s v="Jan"/>
    <n v="2"/>
    <s v="Mon"/>
    <d v="2026-06-30T12:55:08"/>
    <n v="10"/>
    <s v="Morning"/>
    <n v="1"/>
    <x v="1"/>
    <x v="1"/>
    <n v="55"/>
    <x v="1"/>
    <x v="1"/>
    <s v="Morning Sunrise Chai Lg"/>
    <s v="4"/>
    <x v="5"/>
    <s v="Weekday"/>
  </r>
  <r>
    <x v="647"/>
    <d v="2023-01-02T00:00:00"/>
    <n v="2023"/>
    <n v="1"/>
    <s v="Jan"/>
    <n v="2"/>
    <s v="Mon"/>
    <d v="2026-06-30T12:55:35"/>
    <n v="10"/>
    <s v="Morning"/>
    <n v="1"/>
    <x v="1"/>
    <x v="1"/>
    <n v="48"/>
    <x v="1"/>
    <x v="6"/>
    <s v="English Breakfast Rg"/>
    <s v="2.5"/>
    <x v="11"/>
    <s v="Weekday"/>
  </r>
  <r>
    <x v="648"/>
    <d v="2023-01-02T00:00:00"/>
    <n v="2023"/>
    <n v="1"/>
    <s v="Jan"/>
    <n v="2"/>
    <s v="Mon"/>
    <d v="2026-06-30T12:59:58"/>
    <n v="10"/>
    <s v="Morning"/>
    <n v="1"/>
    <x v="1"/>
    <x v="1"/>
    <n v="32"/>
    <x v="0"/>
    <x v="0"/>
    <s v="Ethiopia Rg"/>
    <s v="3"/>
    <x v="4"/>
    <s v="Weekday"/>
  </r>
  <r>
    <x v="649"/>
    <d v="2023-01-02T00:00:00"/>
    <n v="2023"/>
    <n v="1"/>
    <s v="Jan"/>
    <n v="2"/>
    <s v="Mon"/>
    <d v="2026-06-30T13:01:06"/>
    <n v="11"/>
    <s v="Morning"/>
    <n v="2"/>
    <x v="0"/>
    <x v="0"/>
    <n v="48"/>
    <x v="1"/>
    <x v="6"/>
    <s v="English Breakfast Rg"/>
    <s v="2.5"/>
    <x v="17"/>
    <s v="Weekday"/>
  </r>
  <r>
    <x v="650"/>
    <d v="2023-01-02T00:00:00"/>
    <n v="2023"/>
    <n v="1"/>
    <s v="Jan"/>
    <n v="2"/>
    <s v="Mon"/>
    <d v="2026-06-30T13:04:21"/>
    <n v="11"/>
    <s v="Morning"/>
    <n v="1"/>
    <x v="2"/>
    <x v="2"/>
    <n v="27"/>
    <x v="0"/>
    <x v="11"/>
    <s v="Brazilian Lg"/>
    <s v="3.5"/>
    <x v="15"/>
    <s v="Weekday"/>
  </r>
  <r>
    <x v="651"/>
    <d v="2023-01-02T00:00:00"/>
    <n v="2023"/>
    <n v="1"/>
    <s v="Jan"/>
    <n v="2"/>
    <s v="Mon"/>
    <d v="2026-06-30T13:04:21"/>
    <n v="11"/>
    <s v="Morning"/>
    <n v="1"/>
    <x v="2"/>
    <x v="2"/>
    <n v="70"/>
    <x v="3"/>
    <x v="4"/>
    <s v="Cranberry Scone"/>
    <s v="3.25"/>
    <x v="14"/>
    <s v="Weekday"/>
  </r>
  <r>
    <x v="652"/>
    <d v="2023-01-02T00:00:00"/>
    <n v="2023"/>
    <n v="1"/>
    <s v="Jan"/>
    <n v="2"/>
    <s v="Mon"/>
    <d v="2026-06-30T13:06:10"/>
    <n v="11"/>
    <s v="Morning"/>
    <n v="1"/>
    <x v="2"/>
    <x v="2"/>
    <n v="26"/>
    <x v="0"/>
    <x v="11"/>
    <s v="Brazilian Rg"/>
    <s v="3"/>
    <x v="4"/>
    <s v="Weekday"/>
  </r>
  <r>
    <x v="653"/>
    <d v="2023-01-02T00:00:00"/>
    <n v="2023"/>
    <n v="1"/>
    <s v="Jan"/>
    <n v="2"/>
    <s v="Mon"/>
    <d v="2026-06-30T13:06:10"/>
    <n v="11"/>
    <s v="Morning"/>
    <n v="1"/>
    <x v="2"/>
    <x v="2"/>
    <n v="77"/>
    <x v="3"/>
    <x v="4"/>
    <s v="Oatmeal Scone"/>
    <s v="3"/>
    <x v="4"/>
    <s v="Weekday"/>
  </r>
  <r>
    <x v="654"/>
    <d v="2023-01-02T00:00:00"/>
    <n v="2023"/>
    <n v="1"/>
    <s v="Jan"/>
    <n v="2"/>
    <s v="Mon"/>
    <d v="2026-06-30T13:06:28"/>
    <n v="11"/>
    <s v="Morning"/>
    <n v="1"/>
    <x v="0"/>
    <x v="0"/>
    <n v="25"/>
    <x v="0"/>
    <x v="11"/>
    <s v="Brazilian Sm"/>
    <s v="2.2"/>
    <x v="23"/>
    <s v="Weekday"/>
  </r>
  <r>
    <x v="655"/>
    <d v="2023-01-02T00:00:00"/>
    <n v="2023"/>
    <n v="1"/>
    <s v="Jan"/>
    <n v="2"/>
    <s v="Mon"/>
    <d v="2026-06-30T13:10:15"/>
    <n v="11"/>
    <s v="Morning"/>
    <n v="2"/>
    <x v="1"/>
    <x v="1"/>
    <n v="29"/>
    <x v="0"/>
    <x v="0"/>
    <s v="Columbian Medium Roast Rg"/>
    <s v="2.5"/>
    <x v="17"/>
    <s v="Weekday"/>
  </r>
  <r>
    <x v="656"/>
    <d v="2023-01-02T00:00:00"/>
    <n v="2023"/>
    <n v="1"/>
    <s v="Jan"/>
    <n v="2"/>
    <s v="Mon"/>
    <d v="2026-06-30T13:11:23"/>
    <n v="11"/>
    <s v="Morning"/>
    <n v="2"/>
    <x v="2"/>
    <x v="2"/>
    <n v="26"/>
    <x v="0"/>
    <x v="11"/>
    <s v="Brazilian Rg"/>
    <s v="3"/>
    <x v="0"/>
    <s v="Weekday"/>
  </r>
  <r>
    <x v="657"/>
    <d v="2023-01-02T00:00:00"/>
    <n v="2023"/>
    <n v="1"/>
    <s v="Jan"/>
    <n v="2"/>
    <s v="Mon"/>
    <d v="2026-06-30T13:12:05"/>
    <n v="11"/>
    <s v="Morning"/>
    <n v="1"/>
    <x v="1"/>
    <x v="1"/>
    <n v="41"/>
    <x v="0"/>
    <x v="5"/>
    <s v="Cappuccino Lg"/>
    <s v="4.25"/>
    <x v="6"/>
    <s v="Weekday"/>
  </r>
  <r>
    <x v="658"/>
    <d v="2023-01-02T00:00:00"/>
    <n v="2023"/>
    <n v="1"/>
    <s v="Jan"/>
    <n v="2"/>
    <s v="Mon"/>
    <d v="2026-06-30T13:12:33"/>
    <n v="11"/>
    <s v="Morning"/>
    <n v="1"/>
    <x v="0"/>
    <x v="0"/>
    <n v="46"/>
    <x v="1"/>
    <x v="7"/>
    <s v="Serenity Green Tea Rg"/>
    <s v="2.5"/>
    <x v="11"/>
    <s v="Weekday"/>
  </r>
  <r>
    <x v="659"/>
    <d v="2023-01-02T00:00:00"/>
    <n v="2023"/>
    <n v="1"/>
    <s v="Jan"/>
    <n v="2"/>
    <s v="Mon"/>
    <d v="2026-06-30T13:13:01"/>
    <n v="11"/>
    <s v="Morning"/>
    <n v="2"/>
    <x v="2"/>
    <x v="2"/>
    <n v="22"/>
    <x v="0"/>
    <x v="3"/>
    <s v="Our Old Time Diner Blend Sm"/>
    <s v="2"/>
    <x v="5"/>
    <s v="Weekday"/>
  </r>
  <r>
    <x v="660"/>
    <d v="2023-01-02T00:00:00"/>
    <n v="2023"/>
    <n v="1"/>
    <s v="Jan"/>
    <n v="2"/>
    <s v="Mon"/>
    <d v="2026-06-30T13:13:37"/>
    <n v="11"/>
    <s v="Morning"/>
    <n v="1"/>
    <x v="1"/>
    <x v="1"/>
    <n v="50"/>
    <x v="1"/>
    <x v="6"/>
    <s v="Earl Grey Rg"/>
    <s v="2.5"/>
    <x v="11"/>
    <s v="Weekday"/>
  </r>
  <r>
    <x v="661"/>
    <d v="2023-01-02T00:00:00"/>
    <n v="2023"/>
    <n v="1"/>
    <s v="Jan"/>
    <n v="2"/>
    <s v="Mon"/>
    <d v="2026-06-30T13:14:15"/>
    <n v="11"/>
    <s v="Morning"/>
    <n v="2"/>
    <x v="2"/>
    <x v="2"/>
    <n v="32"/>
    <x v="0"/>
    <x v="0"/>
    <s v="Ethiopia Rg"/>
    <s v="3"/>
    <x v="0"/>
    <s v="Weekday"/>
  </r>
  <r>
    <x v="662"/>
    <d v="2023-01-02T00:00:00"/>
    <n v="2023"/>
    <n v="1"/>
    <s v="Jan"/>
    <n v="2"/>
    <s v="Mon"/>
    <d v="2026-06-30T13:15:12"/>
    <n v="11"/>
    <s v="Morning"/>
    <n v="1"/>
    <x v="2"/>
    <x v="2"/>
    <n v="40"/>
    <x v="0"/>
    <x v="5"/>
    <s v="Cappuccino"/>
    <s v="3.75"/>
    <x v="10"/>
    <s v="Weekday"/>
  </r>
  <r>
    <x v="663"/>
    <d v="2023-01-02T00:00:00"/>
    <n v="2023"/>
    <n v="1"/>
    <s v="Jan"/>
    <n v="2"/>
    <s v="Mon"/>
    <d v="2026-06-30T13:15:28"/>
    <n v="11"/>
    <s v="Morning"/>
    <n v="1"/>
    <x v="2"/>
    <x v="2"/>
    <n v="30"/>
    <x v="0"/>
    <x v="0"/>
    <s v="Columbian Medium Roast Lg"/>
    <s v="3"/>
    <x v="4"/>
    <s v="Weekday"/>
  </r>
  <r>
    <x v="664"/>
    <d v="2023-01-02T00:00:00"/>
    <n v="2023"/>
    <n v="1"/>
    <s v="Jan"/>
    <n v="2"/>
    <s v="Mon"/>
    <d v="2026-06-30T13:15:40"/>
    <n v="11"/>
    <s v="Morning"/>
    <n v="1"/>
    <x v="2"/>
    <x v="2"/>
    <n v="42"/>
    <x v="1"/>
    <x v="8"/>
    <s v="Lemon Grass Rg"/>
    <s v="2.5"/>
    <x v="11"/>
    <s v="Weekday"/>
  </r>
  <r>
    <x v="665"/>
    <d v="2023-01-02T00:00:00"/>
    <n v="2023"/>
    <n v="1"/>
    <s v="Jan"/>
    <n v="2"/>
    <s v="Mon"/>
    <d v="2026-06-30T13:16:51"/>
    <n v="11"/>
    <s v="Morning"/>
    <n v="2"/>
    <x v="2"/>
    <x v="2"/>
    <n v="31"/>
    <x v="0"/>
    <x v="0"/>
    <s v="Ethiopia Sm"/>
    <s v="2.2"/>
    <x v="19"/>
    <s v="Weekday"/>
  </r>
  <r>
    <x v="666"/>
    <d v="2023-01-02T00:00:00"/>
    <n v="2023"/>
    <n v="1"/>
    <s v="Jan"/>
    <n v="2"/>
    <s v="Mon"/>
    <d v="2026-06-30T13:16:51"/>
    <n v="11"/>
    <s v="Morning"/>
    <n v="1"/>
    <x v="2"/>
    <x v="2"/>
    <n v="75"/>
    <x v="3"/>
    <x v="10"/>
    <s v="Croissant"/>
    <s v="3.5"/>
    <x v="15"/>
    <s v="Weekday"/>
  </r>
  <r>
    <x v="667"/>
    <d v="2023-01-02T00:00:00"/>
    <n v="2023"/>
    <n v="1"/>
    <s v="Jan"/>
    <n v="2"/>
    <s v="Mon"/>
    <d v="2026-06-30T13:18:12"/>
    <n v="11"/>
    <s v="Morning"/>
    <n v="2"/>
    <x v="2"/>
    <x v="2"/>
    <n v="36"/>
    <x v="0"/>
    <x v="12"/>
    <s v="Jamaican Coffee River Lg"/>
    <s v="3.75"/>
    <x v="16"/>
    <s v="Weekday"/>
  </r>
  <r>
    <x v="668"/>
    <d v="2023-01-02T00:00:00"/>
    <n v="2023"/>
    <n v="1"/>
    <s v="Jan"/>
    <n v="2"/>
    <s v="Mon"/>
    <d v="2026-06-30T13:18:25"/>
    <n v="11"/>
    <s v="Morning"/>
    <n v="2"/>
    <x v="2"/>
    <x v="2"/>
    <n v="52"/>
    <x v="1"/>
    <x v="1"/>
    <s v="Traditional Blend Chai Rg"/>
    <s v="2.5"/>
    <x v="17"/>
    <s v="Weekday"/>
  </r>
  <r>
    <x v="669"/>
    <d v="2023-01-02T00:00:00"/>
    <n v="2023"/>
    <n v="1"/>
    <s v="Jan"/>
    <n v="2"/>
    <s v="Mon"/>
    <d v="2026-06-30T13:19:12"/>
    <n v="11"/>
    <s v="Morning"/>
    <n v="2"/>
    <x v="2"/>
    <x v="2"/>
    <n v="30"/>
    <x v="0"/>
    <x v="0"/>
    <s v="Columbian Medium Roast Lg"/>
    <s v="3"/>
    <x v="0"/>
    <s v="Weekday"/>
  </r>
  <r>
    <x v="670"/>
    <d v="2023-01-02T00:00:00"/>
    <n v="2023"/>
    <n v="1"/>
    <s v="Jan"/>
    <n v="2"/>
    <s v="Mon"/>
    <d v="2026-06-30T13:19:42"/>
    <n v="11"/>
    <s v="Morning"/>
    <n v="1"/>
    <x v="1"/>
    <x v="1"/>
    <n v="35"/>
    <x v="0"/>
    <x v="12"/>
    <s v="Jamaican Coffee River Rg"/>
    <s v="3.1"/>
    <x v="9"/>
    <s v="Weekday"/>
  </r>
  <r>
    <x v="671"/>
    <d v="2023-01-02T00:00:00"/>
    <n v="2023"/>
    <n v="1"/>
    <s v="Jan"/>
    <n v="2"/>
    <s v="Mon"/>
    <d v="2026-06-30T13:21:43"/>
    <n v="11"/>
    <s v="Morning"/>
    <n v="2"/>
    <x v="2"/>
    <x v="2"/>
    <n v="29"/>
    <x v="0"/>
    <x v="0"/>
    <s v="Columbian Medium Roast Rg"/>
    <s v="2.5"/>
    <x v="17"/>
    <s v="Weekday"/>
  </r>
  <r>
    <x v="672"/>
    <d v="2023-01-02T00:00:00"/>
    <n v="2023"/>
    <n v="1"/>
    <s v="Jan"/>
    <n v="2"/>
    <s v="Mon"/>
    <d v="2026-06-30T13:21:49"/>
    <n v="11"/>
    <s v="Morning"/>
    <n v="2"/>
    <x v="2"/>
    <x v="2"/>
    <n v="38"/>
    <x v="0"/>
    <x v="5"/>
    <s v="Latte"/>
    <s v="3.75"/>
    <x v="16"/>
    <s v="Weekday"/>
  </r>
  <r>
    <x v="673"/>
    <d v="2023-01-02T00:00:00"/>
    <n v="2023"/>
    <n v="1"/>
    <s v="Jan"/>
    <n v="2"/>
    <s v="Mon"/>
    <d v="2026-06-30T13:22:46"/>
    <n v="11"/>
    <s v="Morning"/>
    <n v="1"/>
    <x v="2"/>
    <x v="2"/>
    <n v="53"/>
    <x v="1"/>
    <x v="1"/>
    <s v="Traditional Blend Chai Lg"/>
    <s v="3"/>
    <x v="4"/>
    <s v="Weekday"/>
  </r>
  <r>
    <x v="674"/>
    <d v="2023-01-02T00:00:00"/>
    <n v="2023"/>
    <n v="1"/>
    <s v="Jan"/>
    <n v="2"/>
    <s v="Mon"/>
    <d v="2026-06-30T13:25:20"/>
    <n v="11"/>
    <s v="Morning"/>
    <n v="2"/>
    <x v="0"/>
    <x v="0"/>
    <n v="54"/>
    <x v="1"/>
    <x v="1"/>
    <s v="Morning Sunrise Chai Rg"/>
    <s v="2.5"/>
    <x v="17"/>
    <s v="Weekday"/>
  </r>
  <r>
    <x v="675"/>
    <d v="2023-01-02T00:00:00"/>
    <n v="2023"/>
    <n v="1"/>
    <s v="Jan"/>
    <n v="2"/>
    <s v="Mon"/>
    <d v="2026-06-30T13:27:35"/>
    <n v="11"/>
    <s v="Morning"/>
    <n v="2"/>
    <x v="0"/>
    <x v="0"/>
    <n v="48"/>
    <x v="1"/>
    <x v="6"/>
    <s v="English Breakfast Rg"/>
    <s v="2.5"/>
    <x v="17"/>
    <s v="Weekday"/>
  </r>
  <r>
    <x v="676"/>
    <d v="2023-01-02T00:00:00"/>
    <n v="2023"/>
    <n v="1"/>
    <s v="Jan"/>
    <n v="2"/>
    <s v="Mon"/>
    <d v="2026-06-30T13:32:11"/>
    <n v="11"/>
    <s v="Morning"/>
    <n v="2"/>
    <x v="1"/>
    <x v="1"/>
    <n v="47"/>
    <x v="1"/>
    <x v="7"/>
    <s v="Serenity Green Tea Lg"/>
    <s v="3"/>
    <x v="0"/>
    <s v="Weekday"/>
  </r>
  <r>
    <x v="677"/>
    <d v="2023-01-02T00:00:00"/>
    <n v="2023"/>
    <n v="1"/>
    <s v="Jan"/>
    <n v="2"/>
    <s v="Mon"/>
    <d v="2026-06-30T13:34:44"/>
    <n v="11"/>
    <s v="Morning"/>
    <n v="1"/>
    <x v="1"/>
    <x v="1"/>
    <n v="43"/>
    <x v="1"/>
    <x v="8"/>
    <s v="Lemon Grass Lg"/>
    <s v="3"/>
    <x v="4"/>
    <s v="Weekday"/>
  </r>
  <r>
    <x v="678"/>
    <d v="2023-01-02T00:00:00"/>
    <n v="2023"/>
    <n v="1"/>
    <s v="Jan"/>
    <n v="2"/>
    <s v="Mon"/>
    <d v="2026-06-30T13:35:02"/>
    <n v="11"/>
    <s v="Morning"/>
    <n v="1"/>
    <x v="2"/>
    <x v="2"/>
    <n v="49"/>
    <x v="1"/>
    <x v="6"/>
    <s v="English Breakfast Lg"/>
    <s v="3"/>
    <x v="4"/>
    <s v="Weekday"/>
  </r>
  <r>
    <x v="679"/>
    <d v="2023-01-02T00:00:00"/>
    <n v="2023"/>
    <n v="1"/>
    <s v="Jan"/>
    <n v="2"/>
    <s v="Mon"/>
    <d v="2026-06-30T13:35:02"/>
    <n v="11"/>
    <s v="Morning"/>
    <n v="1"/>
    <x v="2"/>
    <x v="2"/>
    <n v="79"/>
    <x v="3"/>
    <x v="4"/>
    <s v="Jumbo Savory Scone"/>
    <s v="3.75"/>
    <x v="10"/>
    <s v="Weekday"/>
  </r>
  <r>
    <x v="680"/>
    <d v="2023-01-02T00:00:00"/>
    <n v="2023"/>
    <n v="1"/>
    <s v="Jan"/>
    <n v="2"/>
    <s v="Mon"/>
    <d v="2026-06-30T13:35:14"/>
    <n v="11"/>
    <s v="Morning"/>
    <n v="2"/>
    <x v="2"/>
    <x v="2"/>
    <n v="25"/>
    <x v="0"/>
    <x v="11"/>
    <s v="Brazilian Sm"/>
    <s v="2.2"/>
    <x v="19"/>
    <s v="Weekday"/>
  </r>
  <r>
    <x v="681"/>
    <d v="2023-01-02T00:00:00"/>
    <n v="2023"/>
    <n v="1"/>
    <s v="Jan"/>
    <n v="2"/>
    <s v="Mon"/>
    <d v="2026-06-30T13:35:14"/>
    <n v="11"/>
    <s v="Morning"/>
    <n v="1"/>
    <x v="2"/>
    <x v="2"/>
    <n v="69"/>
    <x v="3"/>
    <x v="9"/>
    <s v="Hazelnut Biscotti"/>
    <s v="3.25"/>
    <x v="14"/>
    <s v="Weekday"/>
  </r>
  <r>
    <x v="682"/>
    <d v="2023-01-02T00:00:00"/>
    <n v="2023"/>
    <n v="1"/>
    <s v="Jan"/>
    <n v="2"/>
    <s v="Mon"/>
    <d v="2026-06-30T13:36:50"/>
    <n v="11"/>
    <s v="Morning"/>
    <n v="2"/>
    <x v="0"/>
    <x v="0"/>
    <n v="58"/>
    <x v="2"/>
    <x v="2"/>
    <s v="Dark chocolate Rg"/>
    <s v="3.5"/>
    <x v="7"/>
    <s v="Weekday"/>
  </r>
  <r>
    <x v="683"/>
    <d v="2023-01-02T00:00:00"/>
    <n v="2023"/>
    <n v="1"/>
    <s v="Jan"/>
    <n v="2"/>
    <s v="Mon"/>
    <d v="2026-06-30T13:38:23"/>
    <n v="11"/>
    <s v="Morning"/>
    <n v="2"/>
    <x v="2"/>
    <x v="2"/>
    <n v="24"/>
    <x v="0"/>
    <x v="3"/>
    <s v="Our Old Time Diner Blend Lg"/>
    <s v="3"/>
    <x v="0"/>
    <s v="Weekday"/>
  </r>
  <r>
    <x v="684"/>
    <d v="2023-01-02T00:00:00"/>
    <n v="2023"/>
    <n v="1"/>
    <s v="Jan"/>
    <n v="2"/>
    <s v="Mon"/>
    <d v="2026-06-30T13:39:11"/>
    <n v="11"/>
    <s v="Morning"/>
    <n v="2"/>
    <x v="0"/>
    <x v="0"/>
    <n v="42"/>
    <x v="1"/>
    <x v="8"/>
    <s v="Lemon Grass Rg"/>
    <s v="2.5"/>
    <x v="17"/>
    <s v="Weekday"/>
  </r>
  <r>
    <x v="685"/>
    <d v="2023-01-02T00:00:00"/>
    <n v="2023"/>
    <n v="1"/>
    <s v="Jan"/>
    <n v="2"/>
    <s v="Mon"/>
    <d v="2026-06-30T13:39:11"/>
    <n v="11"/>
    <s v="Morning"/>
    <n v="1"/>
    <x v="0"/>
    <x v="0"/>
    <n v="74"/>
    <x v="3"/>
    <x v="9"/>
    <s v="Ginger Biscotti"/>
    <s v="3.5"/>
    <x v="15"/>
    <s v="Weekday"/>
  </r>
  <r>
    <x v="686"/>
    <d v="2023-01-02T00:00:00"/>
    <n v="2023"/>
    <n v="1"/>
    <s v="Jan"/>
    <n v="2"/>
    <s v="Mon"/>
    <d v="2026-06-30T13:40:12"/>
    <n v="11"/>
    <s v="Morning"/>
    <n v="2"/>
    <x v="1"/>
    <x v="1"/>
    <n v="45"/>
    <x v="1"/>
    <x v="8"/>
    <s v="Peppermint Lg"/>
    <s v="3"/>
    <x v="0"/>
    <s v="Weekday"/>
  </r>
  <r>
    <x v="687"/>
    <d v="2023-01-02T00:00:00"/>
    <n v="2023"/>
    <n v="1"/>
    <s v="Jan"/>
    <n v="2"/>
    <s v="Mon"/>
    <d v="2026-06-30T13:41:54"/>
    <n v="11"/>
    <s v="Morning"/>
    <n v="1"/>
    <x v="0"/>
    <x v="0"/>
    <n v="48"/>
    <x v="1"/>
    <x v="6"/>
    <s v="English Breakfast Rg"/>
    <s v="2.5"/>
    <x v="11"/>
    <s v="Weekday"/>
  </r>
  <r>
    <x v="688"/>
    <d v="2023-01-02T00:00:00"/>
    <n v="2023"/>
    <n v="1"/>
    <s v="Jan"/>
    <n v="2"/>
    <s v="Mon"/>
    <d v="2026-06-30T13:42:36"/>
    <n v="11"/>
    <s v="Morning"/>
    <n v="2"/>
    <x v="1"/>
    <x v="1"/>
    <n v="45"/>
    <x v="1"/>
    <x v="8"/>
    <s v="Peppermint Lg"/>
    <s v="3"/>
    <x v="0"/>
    <s v="Weekday"/>
  </r>
  <r>
    <x v="689"/>
    <d v="2023-01-02T00:00:00"/>
    <n v="2023"/>
    <n v="1"/>
    <s v="Jan"/>
    <n v="2"/>
    <s v="Mon"/>
    <d v="2026-06-30T13:42:36"/>
    <n v="11"/>
    <s v="Morning"/>
    <n v="1"/>
    <x v="1"/>
    <x v="1"/>
    <n v="72"/>
    <x v="3"/>
    <x v="4"/>
    <s v="Ginger Scone"/>
    <s v="3.25"/>
    <x v="14"/>
    <s v="Weekday"/>
  </r>
  <r>
    <x v="690"/>
    <d v="2023-01-02T00:00:00"/>
    <n v="2023"/>
    <n v="1"/>
    <s v="Jan"/>
    <n v="2"/>
    <s v="Mon"/>
    <d v="2026-06-30T13:43:04"/>
    <n v="11"/>
    <s v="Morning"/>
    <n v="2"/>
    <x v="2"/>
    <x v="2"/>
    <n v="26"/>
    <x v="0"/>
    <x v="11"/>
    <s v="Brazilian Rg"/>
    <s v="3"/>
    <x v="0"/>
    <s v="Weekday"/>
  </r>
  <r>
    <x v="691"/>
    <d v="2023-01-02T00:00:00"/>
    <n v="2023"/>
    <n v="1"/>
    <s v="Jan"/>
    <n v="2"/>
    <s v="Mon"/>
    <d v="2026-06-30T13:49:10"/>
    <n v="11"/>
    <s v="Morning"/>
    <n v="1"/>
    <x v="0"/>
    <x v="0"/>
    <n v="44"/>
    <x v="1"/>
    <x v="8"/>
    <s v="Peppermint Rg"/>
    <s v="2.5"/>
    <x v="11"/>
    <s v="Weekday"/>
  </r>
  <r>
    <x v="692"/>
    <d v="2023-01-02T00:00:00"/>
    <n v="2023"/>
    <n v="1"/>
    <s v="Jan"/>
    <n v="2"/>
    <s v="Mon"/>
    <d v="2026-06-30T13:50:18"/>
    <n v="11"/>
    <s v="Morning"/>
    <n v="1"/>
    <x v="1"/>
    <x v="1"/>
    <n v="33"/>
    <x v="0"/>
    <x v="0"/>
    <s v="Ethiopia Lg"/>
    <s v="3.5"/>
    <x v="15"/>
    <s v="Weekday"/>
  </r>
  <r>
    <x v="693"/>
    <d v="2023-01-02T00:00:00"/>
    <n v="2023"/>
    <n v="1"/>
    <s v="Jan"/>
    <n v="2"/>
    <s v="Mon"/>
    <d v="2026-06-30T13:50:32"/>
    <n v="11"/>
    <s v="Morning"/>
    <n v="1"/>
    <x v="1"/>
    <x v="1"/>
    <n v="33"/>
    <x v="0"/>
    <x v="0"/>
    <s v="Ethiopia Lg"/>
    <s v="3.5"/>
    <x v="15"/>
    <s v="Weekday"/>
  </r>
  <r>
    <x v="694"/>
    <d v="2023-01-02T00:00:00"/>
    <n v="2023"/>
    <n v="1"/>
    <s v="Jan"/>
    <n v="2"/>
    <s v="Mon"/>
    <d v="2026-06-30T13:53:48"/>
    <n v="11"/>
    <s v="Morning"/>
    <n v="2"/>
    <x v="1"/>
    <x v="1"/>
    <n v="48"/>
    <x v="1"/>
    <x v="6"/>
    <s v="English Breakfast Rg"/>
    <s v="2.5"/>
    <x v="17"/>
    <s v="Weekday"/>
  </r>
  <r>
    <x v="695"/>
    <d v="2023-01-02T00:00:00"/>
    <n v="2023"/>
    <n v="1"/>
    <s v="Jan"/>
    <n v="2"/>
    <s v="Mon"/>
    <d v="2026-06-30T13:53:54"/>
    <n v="11"/>
    <s v="Morning"/>
    <n v="2"/>
    <x v="1"/>
    <x v="1"/>
    <n v="59"/>
    <x v="2"/>
    <x v="2"/>
    <s v="Dark chocolate Lg"/>
    <s v="4.5"/>
    <x v="2"/>
    <s v="Weekday"/>
  </r>
  <r>
    <x v="696"/>
    <d v="2023-01-02T00:00:00"/>
    <n v="2023"/>
    <n v="1"/>
    <s v="Jan"/>
    <n v="2"/>
    <s v="Mon"/>
    <d v="2026-06-30T13:54:01"/>
    <n v="11"/>
    <s v="Morning"/>
    <n v="2"/>
    <x v="0"/>
    <x v="0"/>
    <n v="43"/>
    <x v="1"/>
    <x v="8"/>
    <s v="Lemon Grass Lg"/>
    <s v="3"/>
    <x v="0"/>
    <s v="Weekday"/>
  </r>
  <r>
    <x v="697"/>
    <d v="2023-01-02T00:00:00"/>
    <n v="2023"/>
    <n v="1"/>
    <s v="Jan"/>
    <n v="2"/>
    <s v="Mon"/>
    <d v="2026-06-30T13:54:30"/>
    <n v="11"/>
    <s v="Morning"/>
    <n v="1"/>
    <x v="2"/>
    <x v="2"/>
    <n v="26"/>
    <x v="0"/>
    <x v="11"/>
    <s v="Brazilian Rg"/>
    <s v="3"/>
    <x v="4"/>
    <s v="Weekday"/>
  </r>
  <r>
    <x v="698"/>
    <d v="2023-01-02T00:00:00"/>
    <n v="2023"/>
    <n v="1"/>
    <s v="Jan"/>
    <n v="2"/>
    <s v="Mon"/>
    <d v="2026-06-30T13:55:31"/>
    <n v="11"/>
    <s v="Morning"/>
    <n v="1"/>
    <x v="2"/>
    <x v="2"/>
    <n v="53"/>
    <x v="1"/>
    <x v="1"/>
    <s v="Traditional Blend Chai Lg"/>
    <s v="3"/>
    <x v="4"/>
    <s v="Weekday"/>
  </r>
  <r>
    <x v="699"/>
    <d v="2023-01-02T00:00:00"/>
    <n v="2023"/>
    <n v="1"/>
    <s v="Jan"/>
    <n v="2"/>
    <s v="Mon"/>
    <d v="2026-06-30T13:56:26"/>
    <n v="11"/>
    <s v="Morning"/>
    <n v="1"/>
    <x v="1"/>
    <x v="1"/>
    <n v="28"/>
    <x v="0"/>
    <x v="0"/>
    <s v="Columbian Medium Roast Sm"/>
    <s v="2"/>
    <x v="3"/>
    <s v="Weekday"/>
  </r>
  <r>
    <x v="700"/>
    <d v="2023-01-02T00:00:00"/>
    <n v="2023"/>
    <n v="1"/>
    <s v="Jan"/>
    <n v="2"/>
    <s v="Mon"/>
    <d v="2026-06-30T13:56:58"/>
    <n v="11"/>
    <s v="Morning"/>
    <n v="1"/>
    <x v="1"/>
    <x v="1"/>
    <n v="37"/>
    <x v="0"/>
    <x v="5"/>
    <s v="Espresso shot"/>
    <s v="3"/>
    <x v="4"/>
    <s v="Weekday"/>
  </r>
  <r>
    <x v="701"/>
    <d v="2023-01-02T00:00:00"/>
    <n v="2023"/>
    <n v="1"/>
    <s v="Jan"/>
    <n v="2"/>
    <s v="Mon"/>
    <d v="2026-06-30T13:56:58"/>
    <n v="11"/>
    <s v="Morning"/>
    <n v="1"/>
    <x v="1"/>
    <x v="1"/>
    <n v="78"/>
    <x v="3"/>
    <x v="4"/>
    <s v="Scottish Cream Scone "/>
    <s v="4.5"/>
    <x v="18"/>
    <s v="Weekday"/>
  </r>
  <r>
    <x v="702"/>
    <d v="2023-01-02T00:00:00"/>
    <n v="2023"/>
    <n v="1"/>
    <s v="Jan"/>
    <n v="2"/>
    <s v="Mon"/>
    <d v="2026-06-30T13:58:49"/>
    <n v="11"/>
    <s v="Morning"/>
    <n v="2"/>
    <x v="1"/>
    <x v="1"/>
    <n v="35"/>
    <x v="0"/>
    <x v="12"/>
    <s v="Jamaican Coffee River Rg"/>
    <s v="3.1"/>
    <x v="1"/>
    <s v="Weekday"/>
  </r>
  <r>
    <x v="703"/>
    <d v="2023-01-02T00:00:00"/>
    <n v="2023"/>
    <n v="1"/>
    <s v="Jan"/>
    <n v="2"/>
    <s v="Mon"/>
    <d v="2026-06-30T13:58:49"/>
    <n v="11"/>
    <s v="Morning"/>
    <n v="1"/>
    <x v="1"/>
    <x v="1"/>
    <n v="71"/>
    <x v="3"/>
    <x v="10"/>
    <s v="Chocolate Croissant"/>
    <s v="3.75"/>
    <x v="10"/>
    <s v="Weekday"/>
  </r>
  <r>
    <x v="704"/>
    <d v="2023-01-02T00:00:00"/>
    <n v="2023"/>
    <n v="1"/>
    <s v="Jan"/>
    <n v="2"/>
    <s v="Mon"/>
    <d v="2026-06-30T14:01:50"/>
    <n v="12"/>
    <s v="Afternoon"/>
    <n v="1"/>
    <x v="2"/>
    <x v="2"/>
    <n v="53"/>
    <x v="1"/>
    <x v="1"/>
    <s v="Traditional Blend Chai Lg"/>
    <s v="3"/>
    <x v="4"/>
    <s v="Weekday"/>
  </r>
  <r>
    <x v="705"/>
    <d v="2023-01-02T00:00:00"/>
    <n v="2023"/>
    <n v="1"/>
    <s v="Jan"/>
    <n v="2"/>
    <s v="Mon"/>
    <d v="2026-06-30T14:03:47"/>
    <n v="12"/>
    <s v="Afternoon"/>
    <n v="1"/>
    <x v="2"/>
    <x v="2"/>
    <n v="23"/>
    <x v="0"/>
    <x v="3"/>
    <s v="Our Old Time Diner Blend Rg"/>
    <s v="2.5"/>
    <x v="11"/>
    <s v="Weekday"/>
  </r>
  <r>
    <x v="706"/>
    <d v="2023-01-02T00:00:00"/>
    <n v="2023"/>
    <n v="1"/>
    <s v="Jan"/>
    <n v="2"/>
    <s v="Mon"/>
    <d v="2026-06-30T14:06:18"/>
    <n v="12"/>
    <s v="Afternoon"/>
    <n v="1"/>
    <x v="2"/>
    <x v="2"/>
    <n v="32"/>
    <x v="0"/>
    <x v="0"/>
    <s v="Ethiopia Rg"/>
    <s v="3"/>
    <x v="4"/>
    <s v="Weekday"/>
  </r>
  <r>
    <x v="707"/>
    <d v="2023-01-02T00:00:00"/>
    <n v="2023"/>
    <n v="1"/>
    <s v="Jan"/>
    <n v="2"/>
    <s v="Mon"/>
    <d v="2026-06-30T14:12:01"/>
    <n v="12"/>
    <s v="Afternoon"/>
    <n v="2"/>
    <x v="2"/>
    <x v="2"/>
    <n v="24"/>
    <x v="0"/>
    <x v="3"/>
    <s v="Our Old Time Diner Blend Lg"/>
    <s v="3"/>
    <x v="0"/>
    <s v="Weekday"/>
  </r>
  <r>
    <x v="708"/>
    <d v="2023-01-02T00:00:00"/>
    <n v="2023"/>
    <n v="1"/>
    <s v="Jan"/>
    <n v="2"/>
    <s v="Mon"/>
    <d v="2026-06-30T14:12:44"/>
    <n v="12"/>
    <s v="Afternoon"/>
    <n v="1"/>
    <x v="2"/>
    <x v="2"/>
    <n v="42"/>
    <x v="1"/>
    <x v="8"/>
    <s v="Lemon Grass Rg"/>
    <s v="2.5"/>
    <x v="11"/>
    <s v="Weekday"/>
  </r>
  <r>
    <x v="709"/>
    <d v="2023-01-02T00:00:00"/>
    <n v="2023"/>
    <n v="1"/>
    <s v="Jan"/>
    <n v="2"/>
    <s v="Mon"/>
    <d v="2026-06-30T14:14:00"/>
    <n v="12"/>
    <s v="Afternoon"/>
    <n v="1"/>
    <x v="1"/>
    <x v="1"/>
    <n v="54"/>
    <x v="1"/>
    <x v="1"/>
    <s v="Morning Sunrise Chai Rg"/>
    <s v="2.5"/>
    <x v="11"/>
    <s v="Weekday"/>
  </r>
  <r>
    <x v="710"/>
    <d v="2023-01-02T00:00:00"/>
    <n v="2023"/>
    <n v="1"/>
    <s v="Jan"/>
    <n v="2"/>
    <s v="Mon"/>
    <d v="2026-06-30T14:18:13"/>
    <n v="12"/>
    <s v="Afternoon"/>
    <n v="1"/>
    <x v="2"/>
    <x v="2"/>
    <n v="55"/>
    <x v="1"/>
    <x v="1"/>
    <s v="Morning Sunrise Chai Lg"/>
    <s v="4"/>
    <x v="5"/>
    <s v="Weekday"/>
  </r>
  <r>
    <x v="711"/>
    <d v="2023-01-02T00:00:00"/>
    <n v="2023"/>
    <n v="1"/>
    <s v="Jan"/>
    <n v="2"/>
    <s v="Mon"/>
    <d v="2026-06-30T14:18:22"/>
    <n v="12"/>
    <s v="Afternoon"/>
    <n v="2"/>
    <x v="2"/>
    <x v="2"/>
    <n v="25"/>
    <x v="0"/>
    <x v="11"/>
    <s v="Brazilian Sm"/>
    <s v="2.2"/>
    <x v="19"/>
    <s v="Weekday"/>
  </r>
  <r>
    <x v="712"/>
    <d v="2023-01-02T00:00:00"/>
    <n v="2023"/>
    <n v="1"/>
    <s v="Jan"/>
    <n v="2"/>
    <s v="Mon"/>
    <d v="2026-06-30T14:18:22"/>
    <n v="12"/>
    <s v="Afternoon"/>
    <n v="1"/>
    <x v="2"/>
    <x v="2"/>
    <n v="79"/>
    <x v="3"/>
    <x v="4"/>
    <s v="Jumbo Savory Scone"/>
    <s v="3.75"/>
    <x v="10"/>
    <s v="Weekday"/>
  </r>
  <r>
    <x v="713"/>
    <d v="2023-01-02T00:00:00"/>
    <n v="2023"/>
    <n v="1"/>
    <s v="Jan"/>
    <n v="2"/>
    <s v="Mon"/>
    <d v="2026-06-30T14:20:43"/>
    <n v="12"/>
    <s v="Afternoon"/>
    <n v="1"/>
    <x v="0"/>
    <x v="0"/>
    <n v="47"/>
    <x v="1"/>
    <x v="7"/>
    <s v="Serenity Green Tea Lg"/>
    <s v="3"/>
    <x v="4"/>
    <s v="Weekday"/>
  </r>
  <r>
    <x v="714"/>
    <d v="2023-01-02T00:00:00"/>
    <n v="2023"/>
    <n v="1"/>
    <s v="Jan"/>
    <n v="2"/>
    <s v="Mon"/>
    <d v="2026-06-30T14:20:43"/>
    <n v="12"/>
    <s v="Afternoon"/>
    <n v="1"/>
    <x v="0"/>
    <x v="0"/>
    <n v="71"/>
    <x v="3"/>
    <x v="10"/>
    <s v="Chocolate Croissant"/>
    <s v="3.75"/>
    <x v="10"/>
    <s v="Weekday"/>
  </r>
  <r>
    <x v="715"/>
    <d v="2023-01-02T00:00:00"/>
    <n v="2023"/>
    <n v="1"/>
    <s v="Jan"/>
    <n v="2"/>
    <s v="Mon"/>
    <d v="2026-06-30T14:21:38"/>
    <n v="12"/>
    <s v="Afternoon"/>
    <n v="1"/>
    <x v="1"/>
    <x v="1"/>
    <n v="48"/>
    <x v="1"/>
    <x v="6"/>
    <s v="English Breakfast Rg"/>
    <s v="2.5"/>
    <x v="11"/>
    <s v="Weekday"/>
  </r>
  <r>
    <x v="716"/>
    <d v="2023-01-02T00:00:00"/>
    <n v="2023"/>
    <n v="1"/>
    <s v="Jan"/>
    <n v="2"/>
    <s v="Mon"/>
    <d v="2026-06-30T14:21:39"/>
    <n v="12"/>
    <s v="Afternoon"/>
    <n v="1"/>
    <x v="2"/>
    <x v="2"/>
    <n v="49"/>
    <x v="1"/>
    <x v="6"/>
    <s v="English Breakfast Lg"/>
    <s v="3"/>
    <x v="4"/>
    <s v="Weekday"/>
  </r>
  <r>
    <x v="717"/>
    <d v="2023-01-02T00:00:00"/>
    <n v="2023"/>
    <n v="1"/>
    <s v="Jan"/>
    <n v="2"/>
    <s v="Mon"/>
    <d v="2026-06-30T14:21:58"/>
    <n v="12"/>
    <s v="Afternoon"/>
    <n v="2"/>
    <x v="2"/>
    <x v="2"/>
    <n v="53"/>
    <x v="1"/>
    <x v="1"/>
    <s v="Traditional Blend Chai Lg"/>
    <s v="3"/>
    <x v="0"/>
    <s v="Weekday"/>
  </r>
  <r>
    <x v="718"/>
    <d v="2023-01-02T00:00:00"/>
    <n v="2023"/>
    <n v="1"/>
    <s v="Jan"/>
    <n v="2"/>
    <s v="Mon"/>
    <d v="2026-06-30T14:22:04"/>
    <n v="12"/>
    <s v="Afternoon"/>
    <n v="1"/>
    <x v="2"/>
    <x v="2"/>
    <n v="22"/>
    <x v="0"/>
    <x v="3"/>
    <s v="Our Old Time Diner Blend Sm"/>
    <s v="2"/>
    <x v="3"/>
    <s v="Weekday"/>
  </r>
  <r>
    <x v="719"/>
    <d v="2023-01-02T00:00:00"/>
    <n v="2023"/>
    <n v="1"/>
    <s v="Jan"/>
    <n v="2"/>
    <s v="Mon"/>
    <d v="2026-06-30T14:22:12"/>
    <n v="12"/>
    <s v="Afternoon"/>
    <n v="1"/>
    <x v="0"/>
    <x v="0"/>
    <n v="55"/>
    <x v="1"/>
    <x v="1"/>
    <s v="Morning Sunrise Chai Lg"/>
    <s v="4"/>
    <x v="5"/>
    <s v="Weekday"/>
  </r>
  <r>
    <x v="720"/>
    <d v="2023-01-02T00:00:00"/>
    <n v="2023"/>
    <n v="1"/>
    <s v="Jan"/>
    <n v="2"/>
    <s v="Mon"/>
    <d v="2026-06-30T14:22:12"/>
    <n v="12"/>
    <s v="Afternoon"/>
    <n v="1"/>
    <x v="0"/>
    <x v="0"/>
    <n v="79"/>
    <x v="3"/>
    <x v="4"/>
    <s v="Jumbo Savory Scone"/>
    <s v="3.75"/>
    <x v="10"/>
    <s v="Weekday"/>
  </r>
  <r>
    <x v="721"/>
    <d v="2023-01-02T00:00:00"/>
    <n v="2023"/>
    <n v="1"/>
    <s v="Jan"/>
    <n v="2"/>
    <s v="Mon"/>
    <d v="2026-06-30T14:23:03"/>
    <n v="12"/>
    <s v="Afternoon"/>
    <n v="1"/>
    <x v="0"/>
    <x v="0"/>
    <n v="22"/>
    <x v="0"/>
    <x v="3"/>
    <s v="Our Old Time Diner Blend Sm"/>
    <s v="2"/>
    <x v="3"/>
    <s v="Weekday"/>
  </r>
  <r>
    <x v="722"/>
    <d v="2023-01-02T00:00:00"/>
    <n v="2023"/>
    <n v="1"/>
    <s v="Jan"/>
    <n v="2"/>
    <s v="Mon"/>
    <d v="2026-06-30T14:23:30"/>
    <n v="12"/>
    <s v="Afternoon"/>
    <n v="1"/>
    <x v="2"/>
    <x v="2"/>
    <n v="43"/>
    <x v="1"/>
    <x v="8"/>
    <s v="Lemon Grass Lg"/>
    <s v="3"/>
    <x v="4"/>
    <s v="Weekday"/>
  </r>
  <r>
    <x v="723"/>
    <d v="2023-01-02T00:00:00"/>
    <n v="2023"/>
    <n v="1"/>
    <s v="Jan"/>
    <n v="2"/>
    <s v="Mon"/>
    <d v="2026-06-30T14:23:30"/>
    <n v="12"/>
    <s v="Afternoon"/>
    <n v="1"/>
    <x v="2"/>
    <x v="2"/>
    <n v="78"/>
    <x v="3"/>
    <x v="4"/>
    <s v="Scottish Cream Scone "/>
    <s v="4.5"/>
    <x v="18"/>
    <s v="Weekday"/>
  </r>
  <r>
    <x v="724"/>
    <d v="2023-01-02T00:00:00"/>
    <n v="2023"/>
    <n v="1"/>
    <s v="Jan"/>
    <n v="2"/>
    <s v="Mon"/>
    <d v="2026-06-30T14:24:39"/>
    <n v="12"/>
    <s v="Afternoon"/>
    <n v="2"/>
    <x v="0"/>
    <x v="0"/>
    <n v="33"/>
    <x v="0"/>
    <x v="0"/>
    <s v="Ethiopia Lg"/>
    <s v="3.5"/>
    <x v="7"/>
    <s v="Weekday"/>
  </r>
  <r>
    <x v="725"/>
    <d v="2023-01-02T00:00:00"/>
    <n v="2023"/>
    <n v="1"/>
    <s v="Jan"/>
    <n v="2"/>
    <s v="Mon"/>
    <d v="2026-06-30T14:24:39"/>
    <n v="12"/>
    <s v="Afternoon"/>
    <n v="1"/>
    <x v="0"/>
    <x v="0"/>
    <n v="69"/>
    <x v="3"/>
    <x v="9"/>
    <s v="Hazelnut Biscotti"/>
    <s v="3.25"/>
    <x v="14"/>
    <s v="Weekday"/>
  </r>
  <r>
    <x v="726"/>
    <d v="2023-01-02T00:00:00"/>
    <n v="2023"/>
    <n v="1"/>
    <s v="Jan"/>
    <n v="2"/>
    <s v="Mon"/>
    <d v="2026-06-30T14:25:03"/>
    <n v="12"/>
    <s v="Afternoon"/>
    <n v="1"/>
    <x v="2"/>
    <x v="2"/>
    <n v="24"/>
    <x v="0"/>
    <x v="3"/>
    <s v="Our Old Time Diner Blend Lg"/>
    <s v="3"/>
    <x v="4"/>
    <s v="Weekday"/>
  </r>
  <r>
    <x v="727"/>
    <d v="2023-01-02T00:00:00"/>
    <n v="2023"/>
    <n v="1"/>
    <s v="Jan"/>
    <n v="2"/>
    <s v="Mon"/>
    <d v="2026-06-30T14:25:24"/>
    <n v="12"/>
    <s v="Afternoon"/>
    <n v="2"/>
    <x v="0"/>
    <x v="0"/>
    <n v="56"/>
    <x v="1"/>
    <x v="1"/>
    <s v="Spicy Eye Opener Chai Rg"/>
    <s v="2.55"/>
    <x v="13"/>
    <s v="Weekday"/>
  </r>
  <r>
    <x v="728"/>
    <d v="2023-01-02T00:00:00"/>
    <n v="2023"/>
    <n v="1"/>
    <s v="Jan"/>
    <n v="2"/>
    <s v="Mon"/>
    <d v="2026-06-30T14:26:13"/>
    <n v="12"/>
    <s v="Afternoon"/>
    <n v="2"/>
    <x v="0"/>
    <x v="0"/>
    <n v="25"/>
    <x v="0"/>
    <x v="11"/>
    <s v="Brazilian Sm"/>
    <s v="2.2"/>
    <x v="19"/>
    <s v="Weekday"/>
  </r>
  <r>
    <x v="729"/>
    <d v="2023-01-02T00:00:00"/>
    <n v="2023"/>
    <n v="1"/>
    <s v="Jan"/>
    <n v="2"/>
    <s v="Mon"/>
    <d v="2026-06-30T14:26:13"/>
    <n v="12"/>
    <s v="Afternoon"/>
    <n v="1"/>
    <x v="0"/>
    <x v="0"/>
    <n v="78"/>
    <x v="3"/>
    <x v="4"/>
    <s v="Scottish Cream Scone "/>
    <s v="4.5"/>
    <x v="18"/>
    <s v="Weekday"/>
  </r>
  <r>
    <x v="730"/>
    <d v="2023-01-02T00:00:00"/>
    <n v="2023"/>
    <n v="1"/>
    <s v="Jan"/>
    <n v="2"/>
    <s v="Mon"/>
    <d v="2026-06-30T14:26:18"/>
    <n v="12"/>
    <s v="Afternoon"/>
    <n v="1"/>
    <x v="1"/>
    <x v="1"/>
    <n v="28"/>
    <x v="0"/>
    <x v="0"/>
    <s v="Columbian Medium Roast Sm"/>
    <s v="2"/>
    <x v="3"/>
    <s v="Weekday"/>
  </r>
  <r>
    <x v="731"/>
    <d v="2023-01-02T00:00:00"/>
    <n v="2023"/>
    <n v="1"/>
    <s v="Jan"/>
    <n v="2"/>
    <s v="Mon"/>
    <d v="2026-06-30T14:27:01"/>
    <n v="12"/>
    <s v="Afternoon"/>
    <n v="1"/>
    <x v="1"/>
    <x v="1"/>
    <n v="60"/>
    <x v="2"/>
    <x v="2"/>
    <s v="Sustainably Grown Organic Rg"/>
    <s v="3.75"/>
    <x v="10"/>
    <s v="Weekday"/>
  </r>
  <r>
    <x v="732"/>
    <d v="2023-01-02T00:00:00"/>
    <n v="2023"/>
    <n v="1"/>
    <s v="Jan"/>
    <n v="2"/>
    <s v="Mon"/>
    <d v="2026-06-30T14:28:08"/>
    <n v="12"/>
    <s v="Afternoon"/>
    <n v="2"/>
    <x v="2"/>
    <x v="2"/>
    <n v="51"/>
    <x v="1"/>
    <x v="6"/>
    <s v="Earl Grey Lg"/>
    <s v="3"/>
    <x v="0"/>
    <s v="Weekday"/>
  </r>
  <r>
    <x v="733"/>
    <d v="2023-01-02T00:00:00"/>
    <n v="2023"/>
    <n v="1"/>
    <s v="Jan"/>
    <n v="2"/>
    <s v="Mon"/>
    <d v="2026-06-30T14:28:25"/>
    <n v="12"/>
    <s v="Afternoon"/>
    <n v="1"/>
    <x v="2"/>
    <x v="2"/>
    <n v="60"/>
    <x v="2"/>
    <x v="2"/>
    <s v="Sustainably Grown Organic Rg"/>
    <s v="3.75"/>
    <x v="10"/>
    <s v="Weekday"/>
  </r>
  <r>
    <x v="734"/>
    <d v="2023-01-02T00:00:00"/>
    <n v="2023"/>
    <n v="1"/>
    <s v="Jan"/>
    <n v="2"/>
    <s v="Mon"/>
    <d v="2026-06-30T14:29:07"/>
    <n v="12"/>
    <s v="Afternoon"/>
    <n v="1"/>
    <x v="2"/>
    <x v="2"/>
    <n v="24"/>
    <x v="0"/>
    <x v="3"/>
    <s v="Our Old Time Diner Blend Lg"/>
    <s v="3"/>
    <x v="4"/>
    <s v="Weekday"/>
  </r>
  <r>
    <x v="735"/>
    <d v="2023-01-02T00:00:00"/>
    <n v="2023"/>
    <n v="1"/>
    <s v="Jan"/>
    <n v="2"/>
    <s v="Mon"/>
    <d v="2026-06-30T14:30:43"/>
    <n v="12"/>
    <s v="Afternoon"/>
    <n v="2"/>
    <x v="2"/>
    <x v="2"/>
    <n v="50"/>
    <x v="1"/>
    <x v="6"/>
    <s v="Earl Grey Rg"/>
    <s v="2.5"/>
    <x v="17"/>
    <s v="Weekday"/>
  </r>
  <r>
    <x v="736"/>
    <d v="2023-01-02T00:00:00"/>
    <n v="2023"/>
    <n v="1"/>
    <s v="Jan"/>
    <n v="2"/>
    <s v="Mon"/>
    <d v="2026-06-30T14:32:19"/>
    <n v="12"/>
    <s v="Afternoon"/>
    <n v="1"/>
    <x v="1"/>
    <x v="1"/>
    <n v="57"/>
    <x v="1"/>
    <x v="1"/>
    <s v="Spicy Eye Opener Chai Lg"/>
    <s v="3.1"/>
    <x v="9"/>
    <s v="Weekday"/>
  </r>
  <r>
    <x v="737"/>
    <d v="2023-01-02T00:00:00"/>
    <n v="2023"/>
    <n v="1"/>
    <s v="Jan"/>
    <n v="2"/>
    <s v="Mon"/>
    <d v="2026-06-30T14:33:04"/>
    <n v="12"/>
    <s v="Afternoon"/>
    <n v="2"/>
    <x v="2"/>
    <x v="2"/>
    <n v="32"/>
    <x v="0"/>
    <x v="0"/>
    <s v="Ethiopia Rg"/>
    <s v="3"/>
    <x v="0"/>
    <s v="Weekday"/>
  </r>
  <r>
    <x v="738"/>
    <d v="2023-01-02T00:00:00"/>
    <n v="2023"/>
    <n v="1"/>
    <s v="Jan"/>
    <n v="2"/>
    <s v="Mon"/>
    <d v="2026-06-30T14:34:00"/>
    <n v="12"/>
    <s v="Afternoon"/>
    <n v="1"/>
    <x v="2"/>
    <x v="2"/>
    <n v="24"/>
    <x v="0"/>
    <x v="3"/>
    <s v="Our Old Time Diner Blend Lg"/>
    <s v="3"/>
    <x v="4"/>
    <s v="Weekday"/>
  </r>
  <r>
    <x v="739"/>
    <d v="2023-01-02T00:00:00"/>
    <n v="2023"/>
    <n v="1"/>
    <s v="Jan"/>
    <n v="2"/>
    <s v="Mon"/>
    <d v="2026-06-30T14:36:06"/>
    <n v="12"/>
    <s v="Afternoon"/>
    <n v="1"/>
    <x v="1"/>
    <x v="1"/>
    <n v="43"/>
    <x v="1"/>
    <x v="8"/>
    <s v="Lemon Grass Lg"/>
    <s v="3"/>
    <x v="4"/>
    <s v="Weekday"/>
  </r>
  <r>
    <x v="740"/>
    <d v="2023-01-02T00:00:00"/>
    <n v="2023"/>
    <n v="1"/>
    <s v="Jan"/>
    <n v="2"/>
    <s v="Mon"/>
    <d v="2026-06-30T14:36:37"/>
    <n v="12"/>
    <s v="Afternoon"/>
    <n v="1"/>
    <x v="0"/>
    <x v="0"/>
    <n v="25"/>
    <x v="0"/>
    <x v="11"/>
    <s v="Brazilian Sm"/>
    <s v="2.2"/>
    <x v="23"/>
    <s v="Weekday"/>
  </r>
  <r>
    <x v="741"/>
    <d v="2023-01-02T00:00:00"/>
    <n v="2023"/>
    <n v="1"/>
    <s v="Jan"/>
    <n v="2"/>
    <s v="Mon"/>
    <d v="2026-06-30T14:38:47"/>
    <n v="12"/>
    <s v="Afternoon"/>
    <n v="2"/>
    <x v="1"/>
    <x v="1"/>
    <n v="87"/>
    <x v="0"/>
    <x v="5"/>
    <s v="Ouro Brasileiro shot"/>
    <s v="3"/>
    <x v="0"/>
    <s v="Weekday"/>
  </r>
  <r>
    <x v="742"/>
    <d v="2023-01-02T00:00:00"/>
    <n v="2023"/>
    <n v="1"/>
    <s v="Jan"/>
    <n v="2"/>
    <s v="Mon"/>
    <d v="2026-06-30T14:38:51"/>
    <n v="12"/>
    <s v="Afternoon"/>
    <n v="1"/>
    <x v="2"/>
    <x v="2"/>
    <n v="56"/>
    <x v="1"/>
    <x v="1"/>
    <s v="Spicy Eye Opener Chai Rg"/>
    <s v="2.55"/>
    <x v="8"/>
    <s v="Weekday"/>
  </r>
  <r>
    <x v="743"/>
    <d v="2023-01-02T00:00:00"/>
    <n v="2023"/>
    <n v="1"/>
    <s v="Jan"/>
    <n v="2"/>
    <s v="Mon"/>
    <d v="2026-06-30T14:39:04"/>
    <n v="12"/>
    <s v="Afternoon"/>
    <n v="2"/>
    <x v="0"/>
    <x v="0"/>
    <n v="87"/>
    <x v="0"/>
    <x v="5"/>
    <s v="Ouro Brasileiro shot"/>
    <s v="3"/>
    <x v="0"/>
    <s v="Weekday"/>
  </r>
  <r>
    <x v="744"/>
    <d v="2023-01-02T00:00:00"/>
    <n v="2023"/>
    <n v="1"/>
    <s v="Jan"/>
    <n v="2"/>
    <s v="Mon"/>
    <d v="2026-06-30T14:41:28"/>
    <n v="12"/>
    <s v="Afternoon"/>
    <n v="1"/>
    <x v="1"/>
    <x v="1"/>
    <n v="87"/>
    <x v="0"/>
    <x v="5"/>
    <s v="Ouro Brasileiro shot"/>
    <s v="3"/>
    <x v="4"/>
    <s v="Weekday"/>
  </r>
  <r>
    <x v="745"/>
    <d v="2023-01-02T00:00:00"/>
    <n v="2023"/>
    <n v="1"/>
    <s v="Jan"/>
    <n v="2"/>
    <s v="Mon"/>
    <d v="2026-06-30T14:42:19"/>
    <n v="12"/>
    <s v="Afternoon"/>
    <n v="1"/>
    <x v="0"/>
    <x v="0"/>
    <n v="52"/>
    <x v="1"/>
    <x v="1"/>
    <s v="Traditional Blend Chai Rg"/>
    <s v="2.5"/>
    <x v="11"/>
    <s v="Weekday"/>
  </r>
  <r>
    <x v="746"/>
    <d v="2023-01-02T00:00:00"/>
    <n v="2023"/>
    <n v="1"/>
    <s v="Jan"/>
    <n v="2"/>
    <s v="Mon"/>
    <d v="2026-06-30T14:42:47"/>
    <n v="12"/>
    <s v="Afternoon"/>
    <n v="1"/>
    <x v="1"/>
    <x v="1"/>
    <n v="60"/>
    <x v="2"/>
    <x v="2"/>
    <s v="Sustainably Grown Organic Rg"/>
    <s v="3.75"/>
    <x v="10"/>
    <s v="Weekday"/>
  </r>
  <r>
    <x v="747"/>
    <d v="2023-01-02T00:00:00"/>
    <n v="2023"/>
    <n v="1"/>
    <s v="Jan"/>
    <n v="2"/>
    <s v="Mon"/>
    <d v="2026-06-30T14:45:02"/>
    <n v="12"/>
    <s v="Afternoon"/>
    <n v="1"/>
    <x v="0"/>
    <x v="0"/>
    <n v="26"/>
    <x v="0"/>
    <x v="11"/>
    <s v="Brazilian Rg"/>
    <s v="3"/>
    <x v="4"/>
    <s v="Weekday"/>
  </r>
  <r>
    <x v="748"/>
    <d v="2023-01-02T00:00:00"/>
    <n v="2023"/>
    <n v="1"/>
    <s v="Jan"/>
    <n v="2"/>
    <s v="Mon"/>
    <d v="2026-06-30T14:46:04"/>
    <n v="12"/>
    <s v="Afternoon"/>
    <n v="2"/>
    <x v="2"/>
    <x v="2"/>
    <n v="46"/>
    <x v="1"/>
    <x v="7"/>
    <s v="Serenity Green Tea Rg"/>
    <s v="2.5"/>
    <x v="17"/>
    <s v="Weekday"/>
  </r>
  <r>
    <x v="749"/>
    <d v="2023-01-02T00:00:00"/>
    <n v="2023"/>
    <n v="1"/>
    <s v="Jan"/>
    <n v="2"/>
    <s v="Mon"/>
    <d v="2026-06-30T14:47:49"/>
    <n v="12"/>
    <s v="Afternoon"/>
    <n v="2"/>
    <x v="2"/>
    <x v="2"/>
    <n v="46"/>
    <x v="1"/>
    <x v="7"/>
    <s v="Serenity Green Tea Rg"/>
    <s v="2.5"/>
    <x v="17"/>
    <s v="Weekday"/>
  </r>
  <r>
    <x v="750"/>
    <d v="2023-01-02T00:00:00"/>
    <n v="2023"/>
    <n v="1"/>
    <s v="Jan"/>
    <n v="2"/>
    <s v="Mon"/>
    <d v="2026-06-30T14:53:16"/>
    <n v="12"/>
    <s v="Afternoon"/>
    <n v="2"/>
    <x v="1"/>
    <x v="1"/>
    <n v="22"/>
    <x v="0"/>
    <x v="3"/>
    <s v="Our Old Time Diner Blend Sm"/>
    <s v="2"/>
    <x v="5"/>
    <s v="Weekday"/>
  </r>
  <r>
    <x v="751"/>
    <d v="2023-01-02T00:00:00"/>
    <n v="2023"/>
    <n v="1"/>
    <s v="Jan"/>
    <n v="2"/>
    <s v="Mon"/>
    <d v="2026-06-30T14:54:07"/>
    <n v="12"/>
    <s v="Afternoon"/>
    <n v="1"/>
    <x v="0"/>
    <x v="0"/>
    <n v="58"/>
    <x v="2"/>
    <x v="2"/>
    <s v="Dark chocolate Rg"/>
    <s v="3.5"/>
    <x v="15"/>
    <s v="Weekday"/>
  </r>
  <r>
    <x v="752"/>
    <d v="2023-01-02T00:00:00"/>
    <n v="2023"/>
    <n v="1"/>
    <s v="Jan"/>
    <n v="2"/>
    <s v="Mon"/>
    <d v="2026-06-30T14:54:07"/>
    <n v="12"/>
    <s v="Afternoon"/>
    <n v="1"/>
    <x v="0"/>
    <x v="0"/>
    <n v="77"/>
    <x v="3"/>
    <x v="4"/>
    <s v="Oatmeal Scone"/>
    <s v="3"/>
    <x v="4"/>
    <s v="Weekday"/>
  </r>
  <r>
    <x v="753"/>
    <d v="2023-01-02T00:00:00"/>
    <n v="2023"/>
    <n v="1"/>
    <s v="Jan"/>
    <n v="2"/>
    <s v="Mon"/>
    <d v="2026-06-30T14:54:53"/>
    <n v="12"/>
    <s v="Afternoon"/>
    <n v="2"/>
    <x v="0"/>
    <x v="0"/>
    <n v="52"/>
    <x v="1"/>
    <x v="1"/>
    <s v="Traditional Blend Chai Rg"/>
    <s v="2.5"/>
    <x v="17"/>
    <s v="Weekday"/>
  </r>
  <r>
    <x v="754"/>
    <d v="2023-01-02T00:00:00"/>
    <n v="2023"/>
    <n v="1"/>
    <s v="Jan"/>
    <n v="2"/>
    <s v="Mon"/>
    <d v="2026-06-30T14:55:19"/>
    <n v="12"/>
    <s v="Afternoon"/>
    <n v="1"/>
    <x v="2"/>
    <x v="2"/>
    <n v="52"/>
    <x v="1"/>
    <x v="1"/>
    <s v="Traditional Blend Chai Rg"/>
    <s v="2.5"/>
    <x v="11"/>
    <s v="Weekday"/>
  </r>
  <r>
    <x v="755"/>
    <d v="2023-01-02T00:00:00"/>
    <n v="2023"/>
    <n v="1"/>
    <s v="Jan"/>
    <n v="2"/>
    <s v="Mon"/>
    <d v="2026-06-30T14:57:55"/>
    <n v="12"/>
    <s v="Afternoon"/>
    <n v="2"/>
    <x v="1"/>
    <x v="1"/>
    <n v="30"/>
    <x v="0"/>
    <x v="0"/>
    <s v="Columbian Medium Roast Lg"/>
    <s v="3"/>
    <x v="0"/>
    <s v="Weekday"/>
  </r>
  <r>
    <x v="756"/>
    <d v="2023-01-02T00:00:00"/>
    <n v="2023"/>
    <n v="1"/>
    <s v="Jan"/>
    <n v="2"/>
    <s v="Mon"/>
    <d v="2026-06-30T14:58:04"/>
    <n v="12"/>
    <s v="Afternoon"/>
    <n v="2"/>
    <x v="2"/>
    <x v="2"/>
    <n v="53"/>
    <x v="1"/>
    <x v="1"/>
    <s v="Traditional Blend Chai Lg"/>
    <s v="3"/>
    <x v="0"/>
    <s v="Weekday"/>
  </r>
  <r>
    <x v="757"/>
    <d v="2023-01-02T00:00:00"/>
    <n v="2023"/>
    <n v="1"/>
    <s v="Jan"/>
    <n v="2"/>
    <s v="Mon"/>
    <d v="2026-06-30T14:58:38"/>
    <n v="12"/>
    <s v="Afternoon"/>
    <n v="2"/>
    <x v="1"/>
    <x v="1"/>
    <n v="26"/>
    <x v="0"/>
    <x v="11"/>
    <s v="Brazilian Rg"/>
    <s v="3"/>
    <x v="0"/>
    <s v="Weekday"/>
  </r>
  <r>
    <x v="758"/>
    <d v="2023-01-02T00:00:00"/>
    <n v="2023"/>
    <n v="1"/>
    <s v="Jan"/>
    <n v="2"/>
    <s v="Mon"/>
    <d v="2026-06-30T14:58:57"/>
    <n v="12"/>
    <s v="Afternoon"/>
    <n v="1"/>
    <x v="1"/>
    <x v="1"/>
    <n v="35"/>
    <x v="0"/>
    <x v="12"/>
    <s v="Jamaican Coffee River Rg"/>
    <s v="3.1"/>
    <x v="9"/>
    <s v="Weekday"/>
  </r>
  <r>
    <x v="759"/>
    <d v="2023-01-02T00:00:00"/>
    <n v="2023"/>
    <n v="1"/>
    <s v="Jan"/>
    <n v="2"/>
    <s v="Mon"/>
    <d v="2026-06-30T14:59:28"/>
    <n v="12"/>
    <s v="Afternoon"/>
    <n v="1"/>
    <x v="1"/>
    <x v="1"/>
    <n v="47"/>
    <x v="1"/>
    <x v="7"/>
    <s v="Serenity Green Tea Lg"/>
    <s v="3"/>
    <x v="4"/>
    <s v="Weekday"/>
  </r>
  <r>
    <x v="760"/>
    <d v="2023-01-02T00:00:00"/>
    <n v="2023"/>
    <n v="1"/>
    <s v="Jan"/>
    <n v="2"/>
    <s v="Mon"/>
    <d v="2026-06-30T14:59:45"/>
    <n v="12"/>
    <s v="Afternoon"/>
    <n v="2"/>
    <x v="2"/>
    <x v="2"/>
    <n v="24"/>
    <x v="0"/>
    <x v="3"/>
    <s v="Our Old Time Diner Blend Lg"/>
    <s v="3"/>
    <x v="0"/>
    <s v="Weekday"/>
  </r>
  <r>
    <x v="761"/>
    <d v="2023-01-02T00:00:00"/>
    <n v="2023"/>
    <n v="1"/>
    <s v="Jan"/>
    <n v="2"/>
    <s v="Mon"/>
    <d v="2026-06-30T15:02:03"/>
    <n v="13"/>
    <s v="Afternoon"/>
    <n v="2"/>
    <x v="2"/>
    <x v="2"/>
    <n v="27"/>
    <x v="0"/>
    <x v="11"/>
    <s v="Brazilian Lg"/>
    <s v="3.5"/>
    <x v="7"/>
    <s v="Weekday"/>
  </r>
  <r>
    <x v="762"/>
    <d v="2023-01-02T00:00:00"/>
    <n v="2023"/>
    <n v="1"/>
    <s v="Jan"/>
    <n v="2"/>
    <s v="Mon"/>
    <d v="2026-06-30T15:03:14"/>
    <n v="13"/>
    <s v="Afternoon"/>
    <n v="2"/>
    <x v="1"/>
    <x v="1"/>
    <n v="40"/>
    <x v="0"/>
    <x v="5"/>
    <s v="Cappuccino"/>
    <s v="3.75"/>
    <x v="16"/>
    <s v="Weekday"/>
  </r>
  <r>
    <x v="763"/>
    <d v="2023-01-02T00:00:00"/>
    <n v="2023"/>
    <n v="1"/>
    <s v="Jan"/>
    <n v="2"/>
    <s v="Mon"/>
    <d v="2026-06-30T15:03:14"/>
    <n v="13"/>
    <s v="Afternoon"/>
    <n v="1"/>
    <x v="1"/>
    <x v="1"/>
    <n v="76"/>
    <x v="3"/>
    <x v="9"/>
    <s v="Chocolate Chip Biscotti"/>
    <s v="3.5"/>
    <x v="15"/>
    <s v="Weekday"/>
  </r>
  <r>
    <x v="764"/>
    <d v="2023-01-02T00:00:00"/>
    <n v="2023"/>
    <n v="1"/>
    <s v="Jan"/>
    <n v="2"/>
    <s v="Mon"/>
    <d v="2026-06-30T15:03:33"/>
    <n v="13"/>
    <s v="Afternoon"/>
    <n v="2"/>
    <x v="0"/>
    <x v="0"/>
    <n v="22"/>
    <x v="0"/>
    <x v="3"/>
    <s v="Our Old Time Diner Blend Sm"/>
    <s v="2"/>
    <x v="5"/>
    <s v="Weekday"/>
  </r>
  <r>
    <x v="765"/>
    <d v="2023-01-02T00:00:00"/>
    <n v="2023"/>
    <n v="1"/>
    <s v="Jan"/>
    <n v="2"/>
    <s v="Mon"/>
    <d v="2026-06-30T15:03:53"/>
    <n v="13"/>
    <s v="Afternoon"/>
    <n v="2"/>
    <x v="2"/>
    <x v="2"/>
    <n v="28"/>
    <x v="0"/>
    <x v="0"/>
    <s v="Columbian Medium Roast Sm"/>
    <s v="2"/>
    <x v="5"/>
    <s v="Weekday"/>
  </r>
  <r>
    <x v="766"/>
    <d v="2023-01-02T00:00:00"/>
    <n v="2023"/>
    <n v="1"/>
    <s v="Jan"/>
    <n v="2"/>
    <s v="Mon"/>
    <d v="2026-06-30T15:04:02"/>
    <n v="13"/>
    <s v="Afternoon"/>
    <n v="1"/>
    <x v="1"/>
    <x v="1"/>
    <n v="49"/>
    <x v="1"/>
    <x v="6"/>
    <s v="English Breakfast Lg"/>
    <s v="3"/>
    <x v="4"/>
    <s v="Weekday"/>
  </r>
  <r>
    <x v="767"/>
    <d v="2023-01-02T00:00:00"/>
    <n v="2023"/>
    <n v="1"/>
    <s v="Jan"/>
    <n v="2"/>
    <s v="Mon"/>
    <d v="2026-06-30T15:04:56"/>
    <n v="13"/>
    <s v="Afternoon"/>
    <n v="2"/>
    <x v="2"/>
    <x v="2"/>
    <n v="27"/>
    <x v="0"/>
    <x v="11"/>
    <s v="Brazilian Lg"/>
    <s v="3.5"/>
    <x v="7"/>
    <s v="Weekday"/>
  </r>
  <r>
    <x v="768"/>
    <d v="2023-01-02T00:00:00"/>
    <n v="2023"/>
    <n v="1"/>
    <s v="Jan"/>
    <n v="2"/>
    <s v="Mon"/>
    <d v="2026-06-30T15:05:41"/>
    <n v="13"/>
    <s v="Afternoon"/>
    <n v="1"/>
    <x v="2"/>
    <x v="2"/>
    <n v="61"/>
    <x v="2"/>
    <x v="2"/>
    <s v="Sustainably Grown Organic Lg"/>
    <s v="4.75"/>
    <x v="12"/>
    <s v="Weekday"/>
  </r>
  <r>
    <x v="769"/>
    <d v="2023-01-02T00:00:00"/>
    <n v="2023"/>
    <n v="1"/>
    <s v="Jan"/>
    <n v="2"/>
    <s v="Mon"/>
    <d v="2026-06-30T15:09:27"/>
    <n v="13"/>
    <s v="Afternoon"/>
    <n v="1"/>
    <x v="0"/>
    <x v="0"/>
    <n v="51"/>
    <x v="1"/>
    <x v="6"/>
    <s v="Earl Grey Lg"/>
    <s v="3"/>
    <x v="4"/>
    <s v="Weekday"/>
  </r>
  <r>
    <x v="770"/>
    <d v="2023-01-02T00:00:00"/>
    <n v="2023"/>
    <n v="1"/>
    <s v="Jan"/>
    <n v="2"/>
    <s v="Mon"/>
    <d v="2026-06-30T15:09:27"/>
    <n v="13"/>
    <s v="Afternoon"/>
    <n v="1"/>
    <x v="0"/>
    <x v="0"/>
    <n v="70"/>
    <x v="3"/>
    <x v="4"/>
    <s v="Cranberry Scone"/>
    <s v="3.25"/>
    <x v="14"/>
    <s v="Weekday"/>
  </r>
  <r>
    <x v="771"/>
    <d v="2023-01-02T00:00:00"/>
    <n v="2023"/>
    <n v="1"/>
    <s v="Jan"/>
    <n v="2"/>
    <s v="Mon"/>
    <d v="2026-06-30T15:10:17"/>
    <n v="13"/>
    <s v="Afternoon"/>
    <n v="1"/>
    <x v="1"/>
    <x v="1"/>
    <n v="33"/>
    <x v="0"/>
    <x v="0"/>
    <s v="Ethiopia Lg"/>
    <s v="3.5"/>
    <x v="15"/>
    <s v="Weekday"/>
  </r>
  <r>
    <x v="772"/>
    <d v="2023-01-02T00:00:00"/>
    <n v="2023"/>
    <n v="1"/>
    <s v="Jan"/>
    <n v="2"/>
    <s v="Mon"/>
    <d v="2026-06-30T15:10:17"/>
    <n v="13"/>
    <s v="Afternoon"/>
    <n v="1"/>
    <x v="1"/>
    <x v="1"/>
    <n v="78"/>
    <x v="3"/>
    <x v="4"/>
    <s v="Scottish Cream Scone "/>
    <s v="4.5"/>
    <x v="18"/>
    <s v="Weekday"/>
  </r>
  <r>
    <x v="773"/>
    <d v="2023-01-02T00:00:00"/>
    <n v="2023"/>
    <n v="1"/>
    <s v="Jan"/>
    <n v="2"/>
    <s v="Mon"/>
    <d v="2026-06-30T15:10:41"/>
    <n v="13"/>
    <s v="Afternoon"/>
    <n v="2"/>
    <x v="1"/>
    <x v="1"/>
    <n v="43"/>
    <x v="1"/>
    <x v="8"/>
    <s v="Lemon Grass Lg"/>
    <s v="3"/>
    <x v="0"/>
    <s v="Weekday"/>
  </r>
  <r>
    <x v="774"/>
    <d v="2023-01-02T00:00:00"/>
    <n v="2023"/>
    <n v="1"/>
    <s v="Jan"/>
    <n v="2"/>
    <s v="Mon"/>
    <d v="2026-06-30T15:14:54"/>
    <n v="13"/>
    <s v="Afternoon"/>
    <n v="2"/>
    <x v="0"/>
    <x v="0"/>
    <n v="31"/>
    <x v="0"/>
    <x v="0"/>
    <s v="Ethiopia Sm"/>
    <s v="2.2"/>
    <x v="19"/>
    <s v="Weekday"/>
  </r>
  <r>
    <x v="775"/>
    <d v="2023-01-02T00:00:00"/>
    <n v="2023"/>
    <n v="1"/>
    <s v="Jan"/>
    <n v="2"/>
    <s v="Mon"/>
    <d v="2026-06-30T15:15:40"/>
    <n v="13"/>
    <s v="Afternoon"/>
    <n v="1"/>
    <x v="0"/>
    <x v="0"/>
    <n v="24"/>
    <x v="0"/>
    <x v="3"/>
    <s v="Our Old Time Diner Blend Lg"/>
    <s v="3"/>
    <x v="4"/>
    <s v="Weekday"/>
  </r>
  <r>
    <x v="776"/>
    <d v="2023-01-02T00:00:00"/>
    <n v="2023"/>
    <n v="1"/>
    <s v="Jan"/>
    <n v="2"/>
    <s v="Mon"/>
    <d v="2026-06-30T15:21:09"/>
    <n v="13"/>
    <s v="Afternoon"/>
    <n v="2"/>
    <x v="2"/>
    <x v="2"/>
    <n v="46"/>
    <x v="1"/>
    <x v="7"/>
    <s v="Serenity Green Tea Rg"/>
    <s v="2.5"/>
    <x v="17"/>
    <s v="Weekday"/>
  </r>
  <r>
    <x v="777"/>
    <d v="2023-01-02T00:00:00"/>
    <n v="2023"/>
    <n v="1"/>
    <s v="Jan"/>
    <n v="2"/>
    <s v="Mon"/>
    <d v="2026-06-30T15:21:23"/>
    <n v="13"/>
    <s v="Afternoon"/>
    <n v="2"/>
    <x v="1"/>
    <x v="1"/>
    <n v="50"/>
    <x v="1"/>
    <x v="6"/>
    <s v="Earl Grey Rg"/>
    <s v="2.5"/>
    <x v="17"/>
    <s v="Weekday"/>
  </r>
  <r>
    <x v="778"/>
    <d v="2023-01-02T00:00:00"/>
    <n v="2023"/>
    <n v="1"/>
    <s v="Jan"/>
    <n v="2"/>
    <s v="Mon"/>
    <d v="2026-06-30T15:23:18"/>
    <n v="13"/>
    <s v="Afternoon"/>
    <n v="2"/>
    <x v="2"/>
    <x v="2"/>
    <n v="39"/>
    <x v="0"/>
    <x v="5"/>
    <s v="Latte Rg"/>
    <s v="4.25"/>
    <x v="21"/>
    <s v="Weekday"/>
  </r>
  <r>
    <x v="779"/>
    <d v="2023-01-02T00:00:00"/>
    <n v="2023"/>
    <n v="1"/>
    <s v="Jan"/>
    <n v="2"/>
    <s v="Mon"/>
    <d v="2026-06-30T15:23:38"/>
    <n v="13"/>
    <s v="Afternoon"/>
    <n v="1"/>
    <x v="2"/>
    <x v="2"/>
    <n v="44"/>
    <x v="1"/>
    <x v="8"/>
    <s v="Peppermint Rg"/>
    <s v="2.5"/>
    <x v="11"/>
    <s v="Weekday"/>
  </r>
  <r>
    <x v="780"/>
    <d v="2023-01-02T00:00:00"/>
    <n v="2023"/>
    <n v="1"/>
    <s v="Jan"/>
    <n v="2"/>
    <s v="Mon"/>
    <d v="2026-06-30T15:24:33"/>
    <n v="13"/>
    <s v="Afternoon"/>
    <n v="2"/>
    <x v="2"/>
    <x v="2"/>
    <n v="31"/>
    <x v="0"/>
    <x v="0"/>
    <s v="Ethiopia Sm"/>
    <s v="2.2"/>
    <x v="19"/>
    <s v="Weekday"/>
  </r>
  <r>
    <x v="781"/>
    <d v="2023-01-02T00:00:00"/>
    <n v="2023"/>
    <n v="1"/>
    <s v="Jan"/>
    <n v="2"/>
    <s v="Mon"/>
    <d v="2026-06-30T15:25:02"/>
    <n v="13"/>
    <s v="Afternoon"/>
    <n v="1"/>
    <x v="1"/>
    <x v="1"/>
    <n v="57"/>
    <x v="1"/>
    <x v="1"/>
    <s v="Spicy Eye Opener Chai Lg"/>
    <s v="3.1"/>
    <x v="9"/>
    <s v="Weekday"/>
  </r>
  <r>
    <x v="782"/>
    <d v="2023-01-02T00:00:00"/>
    <n v="2023"/>
    <n v="1"/>
    <s v="Jan"/>
    <n v="2"/>
    <s v="Mon"/>
    <d v="2026-06-30T15:26:47"/>
    <n v="13"/>
    <s v="Afternoon"/>
    <n v="1"/>
    <x v="2"/>
    <x v="2"/>
    <n v="47"/>
    <x v="1"/>
    <x v="7"/>
    <s v="Serenity Green Tea Lg"/>
    <s v="3"/>
    <x v="4"/>
    <s v="Weekday"/>
  </r>
  <r>
    <x v="783"/>
    <d v="2023-01-02T00:00:00"/>
    <n v="2023"/>
    <n v="1"/>
    <s v="Jan"/>
    <n v="2"/>
    <s v="Mon"/>
    <d v="2026-06-30T15:28:24"/>
    <n v="13"/>
    <s v="Afternoon"/>
    <n v="2"/>
    <x v="1"/>
    <x v="1"/>
    <n v="44"/>
    <x v="1"/>
    <x v="8"/>
    <s v="Peppermint Rg"/>
    <s v="2.5"/>
    <x v="17"/>
    <s v="Weekday"/>
  </r>
  <r>
    <x v="784"/>
    <d v="2023-01-02T00:00:00"/>
    <n v="2023"/>
    <n v="1"/>
    <s v="Jan"/>
    <n v="2"/>
    <s v="Mon"/>
    <d v="2026-06-30T15:29:51"/>
    <n v="13"/>
    <s v="Afternoon"/>
    <n v="1"/>
    <x v="2"/>
    <x v="2"/>
    <n v="38"/>
    <x v="0"/>
    <x v="5"/>
    <s v="Latte"/>
    <s v="3.75"/>
    <x v="10"/>
    <s v="Weekday"/>
  </r>
  <r>
    <x v="785"/>
    <d v="2023-01-02T00:00:00"/>
    <n v="2023"/>
    <n v="1"/>
    <s v="Jan"/>
    <n v="2"/>
    <s v="Mon"/>
    <d v="2026-06-30T15:29:59"/>
    <n v="13"/>
    <s v="Afternoon"/>
    <n v="1"/>
    <x v="2"/>
    <x v="2"/>
    <n v="56"/>
    <x v="1"/>
    <x v="1"/>
    <s v="Spicy Eye Opener Chai Rg"/>
    <s v="2.55"/>
    <x v="8"/>
    <s v="Weekday"/>
  </r>
  <r>
    <x v="786"/>
    <d v="2023-01-02T00:00:00"/>
    <n v="2023"/>
    <n v="1"/>
    <s v="Jan"/>
    <n v="2"/>
    <s v="Mon"/>
    <d v="2026-06-30T15:30:00"/>
    <n v="13"/>
    <s v="Afternoon"/>
    <n v="2"/>
    <x v="2"/>
    <x v="2"/>
    <n v="27"/>
    <x v="0"/>
    <x v="11"/>
    <s v="Brazilian Lg"/>
    <s v="3.5"/>
    <x v="7"/>
    <s v="Weekday"/>
  </r>
  <r>
    <x v="787"/>
    <d v="2023-01-02T00:00:00"/>
    <n v="2023"/>
    <n v="1"/>
    <s v="Jan"/>
    <n v="2"/>
    <s v="Mon"/>
    <d v="2026-06-30T15:30:00"/>
    <n v="13"/>
    <s v="Afternoon"/>
    <n v="1"/>
    <x v="2"/>
    <x v="2"/>
    <n v="76"/>
    <x v="3"/>
    <x v="9"/>
    <s v="Chocolate Chip Biscotti"/>
    <s v="3.5"/>
    <x v="15"/>
    <s v="Weekday"/>
  </r>
  <r>
    <x v="788"/>
    <d v="2023-01-02T00:00:00"/>
    <n v="2023"/>
    <n v="1"/>
    <s v="Jan"/>
    <n v="2"/>
    <s v="Mon"/>
    <d v="2026-06-30T15:30:05"/>
    <n v="13"/>
    <s v="Afternoon"/>
    <n v="1"/>
    <x v="1"/>
    <x v="1"/>
    <n v="50"/>
    <x v="1"/>
    <x v="6"/>
    <s v="Earl Grey Rg"/>
    <s v="2.5"/>
    <x v="11"/>
    <s v="Weekday"/>
  </r>
  <r>
    <x v="789"/>
    <d v="2023-01-02T00:00:00"/>
    <n v="2023"/>
    <n v="1"/>
    <s v="Jan"/>
    <n v="2"/>
    <s v="Mon"/>
    <d v="2026-06-30T15:30:15"/>
    <n v="13"/>
    <s v="Afternoon"/>
    <n v="1"/>
    <x v="2"/>
    <x v="2"/>
    <n v="30"/>
    <x v="0"/>
    <x v="0"/>
    <s v="Columbian Medium Roast Lg"/>
    <s v="3"/>
    <x v="4"/>
    <s v="Weekday"/>
  </r>
  <r>
    <x v="790"/>
    <d v="2023-01-02T00:00:00"/>
    <n v="2023"/>
    <n v="1"/>
    <s v="Jan"/>
    <n v="2"/>
    <s v="Mon"/>
    <d v="2026-06-30T15:30:30"/>
    <n v="13"/>
    <s v="Afternoon"/>
    <n v="2"/>
    <x v="2"/>
    <x v="2"/>
    <n v="39"/>
    <x v="0"/>
    <x v="5"/>
    <s v="Latte Rg"/>
    <s v="4.25"/>
    <x v="21"/>
    <s v="Weekday"/>
  </r>
  <r>
    <x v="791"/>
    <d v="2023-01-02T00:00:00"/>
    <n v="2023"/>
    <n v="1"/>
    <s v="Jan"/>
    <n v="2"/>
    <s v="Mon"/>
    <d v="2026-06-30T15:30:30"/>
    <n v="13"/>
    <s v="Afternoon"/>
    <n v="1"/>
    <x v="1"/>
    <x v="1"/>
    <n v="31"/>
    <x v="0"/>
    <x v="0"/>
    <s v="Ethiopia Sm"/>
    <s v="2.2"/>
    <x v="23"/>
    <s v="Weekday"/>
  </r>
  <r>
    <x v="792"/>
    <d v="2023-01-02T00:00:00"/>
    <n v="2023"/>
    <n v="1"/>
    <s v="Jan"/>
    <n v="2"/>
    <s v="Mon"/>
    <d v="2026-06-30T15:34:02"/>
    <n v="13"/>
    <s v="Afternoon"/>
    <n v="1"/>
    <x v="1"/>
    <x v="1"/>
    <n v="23"/>
    <x v="0"/>
    <x v="3"/>
    <s v="Our Old Time Diner Blend Rg"/>
    <s v="2.5"/>
    <x v="11"/>
    <s v="Weekday"/>
  </r>
  <r>
    <x v="793"/>
    <d v="2023-01-02T00:00:00"/>
    <n v="2023"/>
    <n v="1"/>
    <s v="Jan"/>
    <n v="2"/>
    <s v="Mon"/>
    <d v="2026-06-30T15:35:24"/>
    <n v="13"/>
    <s v="Afternoon"/>
    <n v="2"/>
    <x v="0"/>
    <x v="0"/>
    <n v="32"/>
    <x v="0"/>
    <x v="0"/>
    <s v="Ethiopia Rg"/>
    <s v="3"/>
    <x v="0"/>
    <s v="Weekday"/>
  </r>
  <r>
    <x v="794"/>
    <d v="2023-01-02T00:00:00"/>
    <n v="2023"/>
    <n v="1"/>
    <s v="Jan"/>
    <n v="2"/>
    <s v="Mon"/>
    <d v="2026-06-30T15:35:24"/>
    <n v="13"/>
    <s v="Afternoon"/>
    <n v="2"/>
    <x v="1"/>
    <x v="1"/>
    <n v="30"/>
    <x v="0"/>
    <x v="0"/>
    <s v="Columbian Medium Roast Lg"/>
    <s v="3"/>
    <x v="0"/>
    <s v="Weekday"/>
  </r>
  <r>
    <x v="795"/>
    <d v="2023-01-02T00:00:00"/>
    <n v="2023"/>
    <n v="1"/>
    <s v="Jan"/>
    <n v="2"/>
    <s v="Mon"/>
    <d v="2026-06-30T15:39:11"/>
    <n v="13"/>
    <s v="Afternoon"/>
    <n v="2"/>
    <x v="2"/>
    <x v="2"/>
    <n v="23"/>
    <x v="0"/>
    <x v="3"/>
    <s v="Our Old Time Diner Blend Rg"/>
    <s v="2.5"/>
    <x v="17"/>
    <s v="Weekday"/>
  </r>
  <r>
    <x v="796"/>
    <d v="2023-01-02T00:00:00"/>
    <n v="2023"/>
    <n v="1"/>
    <s v="Jan"/>
    <n v="2"/>
    <s v="Mon"/>
    <d v="2026-06-30T15:40:11"/>
    <n v="13"/>
    <s v="Afternoon"/>
    <n v="1"/>
    <x v="2"/>
    <x v="2"/>
    <n v="39"/>
    <x v="0"/>
    <x v="5"/>
    <s v="Latte Rg"/>
    <s v="4.25"/>
    <x v="6"/>
    <s v="Weekday"/>
  </r>
  <r>
    <x v="797"/>
    <d v="2023-01-02T00:00:00"/>
    <n v="2023"/>
    <n v="1"/>
    <s v="Jan"/>
    <n v="2"/>
    <s v="Mon"/>
    <d v="2026-06-30T15:40:36"/>
    <n v="13"/>
    <s v="Afternoon"/>
    <n v="2"/>
    <x v="1"/>
    <x v="1"/>
    <n v="47"/>
    <x v="1"/>
    <x v="7"/>
    <s v="Serenity Green Tea Lg"/>
    <s v="3"/>
    <x v="0"/>
    <s v="Weekday"/>
  </r>
  <r>
    <x v="798"/>
    <d v="2023-01-02T00:00:00"/>
    <n v="2023"/>
    <n v="1"/>
    <s v="Jan"/>
    <n v="2"/>
    <s v="Mon"/>
    <d v="2026-06-30T15:40:53"/>
    <n v="13"/>
    <s v="Afternoon"/>
    <n v="1"/>
    <x v="0"/>
    <x v="0"/>
    <n v="48"/>
    <x v="1"/>
    <x v="6"/>
    <s v="English Breakfast Rg"/>
    <s v="2.5"/>
    <x v="11"/>
    <s v="Weekday"/>
  </r>
  <r>
    <x v="799"/>
    <d v="2023-01-02T00:00:00"/>
    <n v="2023"/>
    <n v="1"/>
    <s v="Jan"/>
    <n v="2"/>
    <s v="Mon"/>
    <d v="2026-06-30T15:40:53"/>
    <n v="13"/>
    <s v="Afternoon"/>
    <n v="1"/>
    <x v="0"/>
    <x v="0"/>
    <n v="79"/>
    <x v="3"/>
    <x v="4"/>
    <s v="Jumbo Savory Scone"/>
    <s v="3.75"/>
    <x v="10"/>
    <s v="Weekday"/>
  </r>
  <r>
    <x v="800"/>
    <d v="2023-01-02T00:00:00"/>
    <n v="2023"/>
    <n v="1"/>
    <s v="Jan"/>
    <n v="2"/>
    <s v="Mon"/>
    <d v="2026-06-30T15:42:07"/>
    <n v="13"/>
    <s v="Afternoon"/>
    <n v="1"/>
    <x v="1"/>
    <x v="1"/>
    <n v="36"/>
    <x v="0"/>
    <x v="12"/>
    <s v="Jamaican Coffee River Lg"/>
    <s v="3.75"/>
    <x v="10"/>
    <s v="Weekday"/>
  </r>
  <r>
    <x v="801"/>
    <d v="2023-01-02T00:00:00"/>
    <n v="2023"/>
    <n v="1"/>
    <s v="Jan"/>
    <n v="2"/>
    <s v="Mon"/>
    <d v="2026-06-30T15:47:24"/>
    <n v="13"/>
    <s v="Afternoon"/>
    <n v="1"/>
    <x v="2"/>
    <x v="2"/>
    <n v="28"/>
    <x v="0"/>
    <x v="0"/>
    <s v="Columbian Medium Roast Sm"/>
    <s v="2"/>
    <x v="3"/>
    <s v="Weekday"/>
  </r>
  <r>
    <x v="802"/>
    <d v="2023-01-02T00:00:00"/>
    <n v="2023"/>
    <n v="1"/>
    <s v="Jan"/>
    <n v="2"/>
    <s v="Mon"/>
    <d v="2026-06-30T15:47:27"/>
    <n v="13"/>
    <s v="Afternoon"/>
    <n v="2"/>
    <x v="1"/>
    <x v="1"/>
    <n v="59"/>
    <x v="2"/>
    <x v="2"/>
    <s v="Dark chocolate Lg"/>
    <s v="4.5"/>
    <x v="2"/>
    <s v="Weekday"/>
  </r>
  <r>
    <x v="803"/>
    <d v="2023-01-02T00:00:00"/>
    <n v="2023"/>
    <n v="1"/>
    <s v="Jan"/>
    <n v="2"/>
    <s v="Mon"/>
    <d v="2026-06-30T15:48:27"/>
    <n v="13"/>
    <s v="Afternoon"/>
    <n v="2"/>
    <x v="1"/>
    <x v="1"/>
    <n v="26"/>
    <x v="0"/>
    <x v="11"/>
    <s v="Brazilian Rg"/>
    <s v="3"/>
    <x v="0"/>
    <s v="Weekday"/>
  </r>
  <r>
    <x v="804"/>
    <d v="2023-01-02T00:00:00"/>
    <n v="2023"/>
    <n v="1"/>
    <s v="Jan"/>
    <n v="2"/>
    <s v="Mon"/>
    <d v="2026-06-30T15:48:27"/>
    <n v="13"/>
    <s v="Afternoon"/>
    <n v="1"/>
    <x v="1"/>
    <x v="1"/>
    <n v="73"/>
    <x v="3"/>
    <x v="10"/>
    <s v="Almond Croissant"/>
    <s v="3.75"/>
    <x v="10"/>
    <s v="Weekday"/>
  </r>
  <r>
    <x v="805"/>
    <d v="2023-01-02T00:00:00"/>
    <n v="2023"/>
    <n v="1"/>
    <s v="Jan"/>
    <n v="2"/>
    <s v="Mon"/>
    <d v="2026-06-30T15:51:33"/>
    <n v="13"/>
    <s v="Afternoon"/>
    <n v="1"/>
    <x v="2"/>
    <x v="2"/>
    <n v="60"/>
    <x v="2"/>
    <x v="2"/>
    <s v="Sustainably Grown Organic Rg"/>
    <s v="3.75"/>
    <x v="10"/>
    <s v="Weekday"/>
  </r>
  <r>
    <x v="806"/>
    <d v="2023-01-02T00:00:00"/>
    <n v="2023"/>
    <n v="1"/>
    <s v="Jan"/>
    <n v="2"/>
    <s v="Mon"/>
    <d v="2026-06-30T15:51:33"/>
    <n v="13"/>
    <s v="Afternoon"/>
    <n v="1"/>
    <x v="2"/>
    <x v="2"/>
    <n v="70"/>
    <x v="3"/>
    <x v="4"/>
    <s v="Cranberry Scone"/>
    <s v="3.25"/>
    <x v="14"/>
    <s v="Weekday"/>
  </r>
  <r>
    <x v="807"/>
    <d v="2023-01-02T00:00:00"/>
    <n v="2023"/>
    <n v="1"/>
    <s v="Jan"/>
    <n v="2"/>
    <s v="Mon"/>
    <d v="2026-06-30T15:52:27"/>
    <n v="13"/>
    <s v="Afternoon"/>
    <n v="2"/>
    <x v="2"/>
    <x v="2"/>
    <n v="54"/>
    <x v="1"/>
    <x v="1"/>
    <s v="Morning Sunrise Chai Rg"/>
    <s v="2.5"/>
    <x v="17"/>
    <s v="Weekday"/>
  </r>
  <r>
    <x v="808"/>
    <d v="2023-01-02T00:00:00"/>
    <n v="2023"/>
    <n v="1"/>
    <s v="Jan"/>
    <n v="2"/>
    <s v="Mon"/>
    <d v="2026-06-30T15:53:04"/>
    <n v="13"/>
    <s v="Afternoon"/>
    <n v="1"/>
    <x v="1"/>
    <x v="1"/>
    <n v="26"/>
    <x v="0"/>
    <x v="11"/>
    <s v="Brazilian Rg"/>
    <s v="3"/>
    <x v="4"/>
    <s v="Weekday"/>
  </r>
  <r>
    <x v="809"/>
    <d v="2023-01-02T00:00:00"/>
    <n v="2023"/>
    <n v="1"/>
    <s v="Jan"/>
    <n v="2"/>
    <s v="Mon"/>
    <d v="2026-06-30T15:53:04"/>
    <n v="13"/>
    <s v="Afternoon"/>
    <n v="1"/>
    <x v="1"/>
    <x v="1"/>
    <n v="79"/>
    <x v="3"/>
    <x v="4"/>
    <s v="Jumbo Savory Scone"/>
    <s v="3.75"/>
    <x v="10"/>
    <s v="Weekday"/>
  </r>
  <r>
    <x v="810"/>
    <d v="2023-01-02T00:00:00"/>
    <n v="2023"/>
    <n v="1"/>
    <s v="Jan"/>
    <n v="2"/>
    <s v="Mon"/>
    <d v="2026-06-30T15:55:38"/>
    <n v="13"/>
    <s v="Afternoon"/>
    <n v="1"/>
    <x v="1"/>
    <x v="1"/>
    <n v="23"/>
    <x v="0"/>
    <x v="3"/>
    <s v="Our Old Time Diner Blend Rg"/>
    <s v="2.5"/>
    <x v="11"/>
    <s v="Weekday"/>
  </r>
  <r>
    <x v="811"/>
    <d v="2023-01-02T00:00:00"/>
    <n v="2023"/>
    <n v="1"/>
    <s v="Jan"/>
    <n v="2"/>
    <s v="Mon"/>
    <d v="2026-06-30T15:55:38"/>
    <n v="13"/>
    <s v="Afternoon"/>
    <n v="1"/>
    <x v="1"/>
    <x v="1"/>
    <n v="71"/>
    <x v="3"/>
    <x v="10"/>
    <s v="Chocolate Croissant"/>
    <s v="3.75"/>
    <x v="10"/>
    <s v="Weekday"/>
  </r>
  <r>
    <x v="812"/>
    <d v="2023-01-02T00:00:00"/>
    <n v="2023"/>
    <n v="1"/>
    <s v="Jan"/>
    <n v="2"/>
    <s v="Mon"/>
    <d v="2026-06-30T15:56:19"/>
    <n v="13"/>
    <s v="Afternoon"/>
    <n v="1"/>
    <x v="0"/>
    <x v="0"/>
    <n v="39"/>
    <x v="0"/>
    <x v="5"/>
    <s v="Latte Rg"/>
    <s v="4.25"/>
    <x v="6"/>
    <s v="Weekday"/>
  </r>
  <r>
    <x v="813"/>
    <d v="2023-01-02T00:00:00"/>
    <n v="2023"/>
    <n v="1"/>
    <s v="Jan"/>
    <n v="2"/>
    <s v="Mon"/>
    <d v="2026-06-30T15:57:59"/>
    <n v="13"/>
    <s v="Afternoon"/>
    <n v="2"/>
    <x v="1"/>
    <x v="1"/>
    <n v="38"/>
    <x v="0"/>
    <x v="5"/>
    <s v="Latte"/>
    <s v="3.75"/>
    <x v="16"/>
    <s v="Weekday"/>
  </r>
  <r>
    <x v="814"/>
    <d v="2023-01-02T00:00:00"/>
    <n v="2023"/>
    <n v="1"/>
    <s v="Jan"/>
    <n v="2"/>
    <s v="Mon"/>
    <d v="2026-06-30T15:58:30"/>
    <n v="13"/>
    <s v="Afternoon"/>
    <n v="2"/>
    <x v="2"/>
    <x v="2"/>
    <n v="36"/>
    <x v="0"/>
    <x v="12"/>
    <s v="Jamaican Coffee River Lg"/>
    <s v="3.75"/>
    <x v="16"/>
    <s v="Weekday"/>
  </r>
  <r>
    <x v="815"/>
    <d v="2023-01-02T00:00:00"/>
    <n v="2023"/>
    <n v="1"/>
    <s v="Jan"/>
    <n v="2"/>
    <s v="Mon"/>
    <d v="2026-06-30T15:58:36"/>
    <n v="13"/>
    <s v="Afternoon"/>
    <n v="1"/>
    <x v="2"/>
    <x v="2"/>
    <n v="39"/>
    <x v="0"/>
    <x v="5"/>
    <s v="Latte Rg"/>
    <s v="4.25"/>
    <x v="6"/>
    <s v="Weekday"/>
  </r>
  <r>
    <x v="816"/>
    <d v="2023-01-02T00:00:00"/>
    <n v="2023"/>
    <n v="1"/>
    <s v="Jan"/>
    <n v="2"/>
    <s v="Mon"/>
    <d v="2026-06-30T16:01:23"/>
    <n v="14"/>
    <s v="Afternoon"/>
    <n v="1"/>
    <x v="1"/>
    <x v="1"/>
    <n v="46"/>
    <x v="1"/>
    <x v="7"/>
    <s v="Serenity Green Tea Rg"/>
    <s v="2.5"/>
    <x v="11"/>
    <s v="Weekday"/>
  </r>
  <r>
    <x v="817"/>
    <d v="2023-01-02T00:00:00"/>
    <n v="2023"/>
    <n v="1"/>
    <s v="Jan"/>
    <n v="2"/>
    <s v="Mon"/>
    <d v="2026-06-30T16:02:16"/>
    <n v="14"/>
    <s v="Afternoon"/>
    <n v="2"/>
    <x v="1"/>
    <x v="1"/>
    <n v="25"/>
    <x v="0"/>
    <x v="11"/>
    <s v="Brazilian Sm"/>
    <s v="2.2"/>
    <x v="19"/>
    <s v="Weekday"/>
  </r>
  <r>
    <x v="818"/>
    <d v="2023-01-02T00:00:00"/>
    <n v="2023"/>
    <n v="1"/>
    <s v="Jan"/>
    <n v="2"/>
    <s v="Mon"/>
    <d v="2026-06-30T16:02:44"/>
    <n v="14"/>
    <s v="Afternoon"/>
    <n v="2"/>
    <x v="2"/>
    <x v="2"/>
    <n v="22"/>
    <x v="0"/>
    <x v="3"/>
    <s v="Our Old Time Diner Blend Sm"/>
    <s v="2"/>
    <x v="5"/>
    <s v="Weekday"/>
  </r>
  <r>
    <x v="819"/>
    <d v="2023-01-02T00:00:00"/>
    <n v="2023"/>
    <n v="1"/>
    <s v="Jan"/>
    <n v="2"/>
    <s v="Mon"/>
    <d v="2026-06-30T16:03:27"/>
    <n v="14"/>
    <s v="Afternoon"/>
    <n v="1"/>
    <x v="2"/>
    <x v="2"/>
    <n v="59"/>
    <x v="2"/>
    <x v="2"/>
    <s v="Dark chocolate Lg"/>
    <s v="4.5"/>
    <x v="18"/>
    <s v="Weekday"/>
  </r>
  <r>
    <x v="820"/>
    <d v="2023-01-02T00:00:00"/>
    <n v="2023"/>
    <n v="1"/>
    <s v="Jan"/>
    <n v="2"/>
    <s v="Mon"/>
    <d v="2026-06-30T16:05:27"/>
    <n v="14"/>
    <s v="Afternoon"/>
    <n v="1"/>
    <x v="0"/>
    <x v="0"/>
    <n v="56"/>
    <x v="1"/>
    <x v="1"/>
    <s v="Spicy Eye Opener Chai Rg"/>
    <s v="2.55"/>
    <x v="8"/>
    <s v="Weekday"/>
  </r>
  <r>
    <x v="821"/>
    <d v="2023-01-02T00:00:00"/>
    <n v="2023"/>
    <n v="1"/>
    <s v="Jan"/>
    <n v="2"/>
    <s v="Mon"/>
    <d v="2026-06-30T16:05:27"/>
    <n v="14"/>
    <s v="Afternoon"/>
    <n v="1"/>
    <x v="0"/>
    <x v="0"/>
    <n v="75"/>
    <x v="3"/>
    <x v="10"/>
    <s v="Croissant"/>
    <s v="3.5"/>
    <x v="15"/>
    <s v="Weekday"/>
  </r>
  <r>
    <x v="822"/>
    <d v="2023-01-02T00:00:00"/>
    <n v="2023"/>
    <n v="1"/>
    <s v="Jan"/>
    <n v="2"/>
    <s v="Mon"/>
    <d v="2026-06-30T16:07:17"/>
    <n v="14"/>
    <s v="Afternoon"/>
    <n v="1"/>
    <x v="2"/>
    <x v="2"/>
    <n v="37"/>
    <x v="0"/>
    <x v="5"/>
    <s v="Espresso shot"/>
    <s v="3"/>
    <x v="4"/>
    <s v="Weekday"/>
  </r>
  <r>
    <x v="823"/>
    <d v="2023-01-02T00:00:00"/>
    <n v="2023"/>
    <n v="1"/>
    <s v="Jan"/>
    <n v="2"/>
    <s v="Mon"/>
    <d v="2026-06-30T16:07:49"/>
    <n v="14"/>
    <s v="Afternoon"/>
    <n v="2"/>
    <x v="0"/>
    <x v="0"/>
    <n v="60"/>
    <x v="2"/>
    <x v="2"/>
    <s v="Sustainably Grown Organic Rg"/>
    <s v="3.75"/>
    <x v="16"/>
    <s v="Weekday"/>
  </r>
  <r>
    <x v="824"/>
    <d v="2023-01-02T00:00:00"/>
    <n v="2023"/>
    <n v="1"/>
    <s v="Jan"/>
    <n v="2"/>
    <s v="Mon"/>
    <d v="2026-06-30T16:08:49"/>
    <n v="14"/>
    <s v="Afternoon"/>
    <n v="1"/>
    <x v="2"/>
    <x v="2"/>
    <n v="40"/>
    <x v="0"/>
    <x v="5"/>
    <s v="Cappuccino"/>
    <s v="3.75"/>
    <x v="10"/>
    <s v="Weekday"/>
  </r>
  <r>
    <x v="825"/>
    <d v="2023-01-02T00:00:00"/>
    <n v="2023"/>
    <n v="1"/>
    <s v="Jan"/>
    <n v="2"/>
    <s v="Mon"/>
    <d v="2026-06-30T16:11:08"/>
    <n v="14"/>
    <s v="Afternoon"/>
    <n v="1"/>
    <x v="0"/>
    <x v="0"/>
    <n v="28"/>
    <x v="0"/>
    <x v="0"/>
    <s v="Columbian Medium Roast Sm"/>
    <s v="2"/>
    <x v="3"/>
    <s v="Weekday"/>
  </r>
  <r>
    <x v="826"/>
    <d v="2023-01-02T00:00:00"/>
    <n v="2023"/>
    <n v="1"/>
    <s v="Jan"/>
    <n v="2"/>
    <s v="Mon"/>
    <d v="2026-06-30T16:12:00"/>
    <n v="14"/>
    <s v="Afternoon"/>
    <n v="1"/>
    <x v="1"/>
    <x v="1"/>
    <n v="46"/>
    <x v="1"/>
    <x v="7"/>
    <s v="Serenity Green Tea Rg"/>
    <s v="2.5"/>
    <x v="11"/>
    <s v="Weekday"/>
  </r>
  <r>
    <x v="827"/>
    <d v="2023-01-02T00:00:00"/>
    <n v="2023"/>
    <n v="1"/>
    <s v="Jan"/>
    <n v="2"/>
    <s v="Mon"/>
    <d v="2026-06-30T16:12:07"/>
    <n v="14"/>
    <s v="Afternoon"/>
    <n v="2"/>
    <x v="0"/>
    <x v="0"/>
    <n v="51"/>
    <x v="1"/>
    <x v="6"/>
    <s v="Earl Grey Lg"/>
    <s v="3"/>
    <x v="0"/>
    <s v="Weekday"/>
  </r>
  <r>
    <x v="828"/>
    <d v="2023-01-02T00:00:00"/>
    <n v="2023"/>
    <n v="1"/>
    <s v="Jan"/>
    <n v="2"/>
    <s v="Mon"/>
    <d v="2026-06-30T16:12:35"/>
    <n v="14"/>
    <s v="Afternoon"/>
    <n v="2"/>
    <x v="2"/>
    <x v="2"/>
    <n v="54"/>
    <x v="1"/>
    <x v="1"/>
    <s v="Morning Sunrise Chai Rg"/>
    <s v="2.5"/>
    <x v="17"/>
    <s v="Weekday"/>
  </r>
  <r>
    <x v="829"/>
    <d v="2023-01-02T00:00:00"/>
    <n v="2023"/>
    <n v="1"/>
    <s v="Jan"/>
    <n v="2"/>
    <s v="Mon"/>
    <d v="2026-06-30T16:12:35"/>
    <n v="14"/>
    <s v="Afternoon"/>
    <n v="1"/>
    <x v="2"/>
    <x v="2"/>
    <n v="72"/>
    <x v="3"/>
    <x v="4"/>
    <s v="Ginger Scone"/>
    <s v="3.25"/>
    <x v="14"/>
    <s v="Weekday"/>
  </r>
  <r>
    <x v="830"/>
    <d v="2023-01-02T00:00:00"/>
    <n v="2023"/>
    <n v="1"/>
    <s v="Jan"/>
    <n v="2"/>
    <s v="Mon"/>
    <d v="2026-06-30T16:13:26"/>
    <n v="14"/>
    <s v="Afternoon"/>
    <n v="1"/>
    <x v="1"/>
    <x v="1"/>
    <n v="55"/>
    <x v="1"/>
    <x v="1"/>
    <s v="Morning Sunrise Chai Lg"/>
    <s v="4"/>
    <x v="5"/>
    <s v="Weekday"/>
  </r>
  <r>
    <x v="831"/>
    <d v="2023-01-02T00:00:00"/>
    <n v="2023"/>
    <n v="1"/>
    <s v="Jan"/>
    <n v="2"/>
    <s v="Mon"/>
    <d v="2026-06-30T16:13:37"/>
    <n v="14"/>
    <s v="Afternoon"/>
    <n v="2"/>
    <x v="0"/>
    <x v="0"/>
    <n v="25"/>
    <x v="0"/>
    <x v="11"/>
    <s v="Brazilian Sm"/>
    <s v="2.2"/>
    <x v="19"/>
    <s v="Weekday"/>
  </r>
  <r>
    <x v="832"/>
    <d v="2023-01-02T00:00:00"/>
    <n v="2023"/>
    <n v="1"/>
    <s v="Jan"/>
    <n v="2"/>
    <s v="Mon"/>
    <d v="2026-06-30T16:14:26"/>
    <n v="14"/>
    <s v="Afternoon"/>
    <n v="2"/>
    <x v="2"/>
    <x v="2"/>
    <n v="58"/>
    <x v="2"/>
    <x v="2"/>
    <s v="Dark chocolate Rg"/>
    <s v="3.5"/>
    <x v="7"/>
    <s v="Weekday"/>
  </r>
  <r>
    <x v="833"/>
    <d v="2023-01-02T00:00:00"/>
    <n v="2023"/>
    <n v="1"/>
    <s v="Jan"/>
    <n v="2"/>
    <s v="Mon"/>
    <d v="2026-06-30T16:17:08"/>
    <n v="14"/>
    <s v="Afternoon"/>
    <n v="1"/>
    <x v="2"/>
    <x v="2"/>
    <n v="23"/>
    <x v="0"/>
    <x v="3"/>
    <s v="Our Old Time Diner Blend Rg"/>
    <s v="2.5"/>
    <x v="11"/>
    <s v="Weekday"/>
  </r>
  <r>
    <x v="834"/>
    <d v="2023-01-02T00:00:00"/>
    <n v="2023"/>
    <n v="1"/>
    <s v="Jan"/>
    <n v="2"/>
    <s v="Mon"/>
    <d v="2026-06-30T16:17:55"/>
    <n v="14"/>
    <s v="Afternoon"/>
    <n v="2"/>
    <x v="2"/>
    <x v="2"/>
    <n v="61"/>
    <x v="2"/>
    <x v="2"/>
    <s v="Sustainably Grown Organic Lg"/>
    <s v="4.75"/>
    <x v="22"/>
    <s v="Weekday"/>
  </r>
  <r>
    <x v="835"/>
    <d v="2023-01-02T00:00:00"/>
    <n v="2023"/>
    <n v="1"/>
    <s v="Jan"/>
    <n v="2"/>
    <s v="Mon"/>
    <d v="2026-06-30T16:17:55"/>
    <n v="14"/>
    <s v="Afternoon"/>
    <n v="1"/>
    <x v="2"/>
    <x v="2"/>
    <n v="75"/>
    <x v="3"/>
    <x v="10"/>
    <s v="Croissant"/>
    <s v="3.5"/>
    <x v="15"/>
    <s v="Weekday"/>
  </r>
  <r>
    <x v="836"/>
    <d v="2023-01-02T00:00:00"/>
    <n v="2023"/>
    <n v="1"/>
    <s v="Jan"/>
    <n v="2"/>
    <s v="Mon"/>
    <d v="2026-06-30T16:19:24"/>
    <n v="14"/>
    <s v="Afternoon"/>
    <n v="1"/>
    <x v="2"/>
    <x v="2"/>
    <n v="49"/>
    <x v="1"/>
    <x v="6"/>
    <s v="English Breakfast Lg"/>
    <s v="3"/>
    <x v="4"/>
    <s v="Weekday"/>
  </r>
  <r>
    <x v="837"/>
    <d v="2023-01-02T00:00:00"/>
    <n v="2023"/>
    <n v="1"/>
    <s v="Jan"/>
    <n v="2"/>
    <s v="Mon"/>
    <d v="2026-06-30T16:21:55"/>
    <n v="14"/>
    <s v="Afternoon"/>
    <n v="2"/>
    <x v="1"/>
    <x v="1"/>
    <n v="41"/>
    <x v="0"/>
    <x v="5"/>
    <s v="Cappuccino Lg"/>
    <s v="4.25"/>
    <x v="21"/>
    <s v="Weekday"/>
  </r>
  <r>
    <x v="838"/>
    <d v="2023-01-02T00:00:00"/>
    <n v="2023"/>
    <n v="1"/>
    <s v="Jan"/>
    <n v="2"/>
    <s v="Mon"/>
    <d v="2026-06-30T16:24:46"/>
    <n v="14"/>
    <s v="Afternoon"/>
    <n v="1"/>
    <x v="2"/>
    <x v="2"/>
    <n v="30"/>
    <x v="0"/>
    <x v="0"/>
    <s v="Columbian Medium Roast Lg"/>
    <s v="3"/>
    <x v="4"/>
    <s v="Weekday"/>
  </r>
  <r>
    <x v="839"/>
    <d v="2023-01-02T00:00:00"/>
    <n v="2023"/>
    <n v="1"/>
    <s v="Jan"/>
    <n v="2"/>
    <s v="Mon"/>
    <d v="2026-06-30T16:25:35"/>
    <n v="14"/>
    <s v="Afternoon"/>
    <n v="1"/>
    <x v="1"/>
    <x v="1"/>
    <n v="31"/>
    <x v="0"/>
    <x v="0"/>
    <s v="Ethiopia Sm"/>
    <s v="2.2"/>
    <x v="23"/>
    <s v="Weekday"/>
  </r>
  <r>
    <x v="840"/>
    <d v="2023-01-02T00:00:00"/>
    <n v="2023"/>
    <n v="1"/>
    <s v="Jan"/>
    <n v="2"/>
    <s v="Mon"/>
    <d v="2026-06-30T16:26:33"/>
    <n v="14"/>
    <s v="Afternoon"/>
    <n v="1"/>
    <x v="1"/>
    <x v="1"/>
    <n v="36"/>
    <x v="0"/>
    <x v="12"/>
    <s v="Jamaican Coffee River Lg"/>
    <s v="3.75"/>
    <x v="10"/>
    <s v="Weekday"/>
  </r>
  <r>
    <x v="841"/>
    <d v="2023-01-02T00:00:00"/>
    <n v="2023"/>
    <n v="1"/>
    <s v="Jan"/>
    <n v="2"/>
    <s v="Mon"/>
    <d v="2026-06-30T16:29:35"/>
    <n v="14"/>
    <s v="Afternoon"/>
    <n v="2"/>
    <x v="2"/>
    <x v="2"/>
    <n v="43"/>
    <x v="1"/>
    <x v="8"/>
    <s v="Lemon Grass Lg"/>
    <s v="3"/>
    <x v="0"/>
    <s v="Weekday"/>
  </r>
  <r>
    <x v="842"/>
    <d v="2023-01-02T00:00:00"/>
    <n v="2023"/>
    <n v="1"/>
    <s v="Jan"/>
    <n v="2"/>
    <s v="Mon"/>
    <d v="2026-06-30T16:29:35"/>
    <n v="14"/>
    <s v="Afternoon"/>
    <n v="1"/>
    <x v="2"/>
    <x v="2"/>
    <n v="71"/>
    <x v="3"/>
    <x v="10"/>
    <s v="Chocolate Croissant"/>
    <s v="3.75"/>
    <x v="10"/>
    <s v="Weekday"/>
  </r>
  <r>
    <x v="843"/>
    <d v="2023-01-02T00:00:00"/>
    <n v="2023"/>
    <n v="1"/>
    <s v="Jan"/>
    <n v="2"/>
    <s v="Mon"/>
    <d v="2026-06-30T16:33:26"/>
    <n v="14"/>
    <s v="Afternoon"/>
    <n v="1"/>
    <x v="2"/>
    <x v="2"/>
    <n v="22"/>
    <x v="0"/>
    <x v="3"/>
    <s v="Our Old Time Diner Blend Sm"/>
    <s v="2"/>
    <x v="3"/>
    <s v="Weekday"/>
  </r>
  <r>
    <x v="844"/>
    <d v="2023-01-02T00:00:00"/>
    <n v="2023"/>
    <n v="1"/>
    <s v="Jan"/>
    <n v="2"/>
    <s v="Mon"/>
    <d v="2026-06-30T16:33:58"/>
    <n v="14"/>
    <s v="Afternoon"/>
    <n v="2"/>
    <x v="0"/>
    <x v="0"/>
    <n v="37"/>
    <x v="0"/>
    <x v="5"/>
    <s v="Espresso shot"/>
    <s v="3"/>
    <x v="0"/>
    <s v="Weekday"/>
  </r>
  <r>
    <x v="845"/>
    <d v="2023-01-02T00:00:00"/>
    <n v="2023"/>
    <n v="1"/>
    <s v="Jan"/>
    <n v="2"/>
    <s v="Mon"/>
    <d v="2026-06-30T16:34:53"/>
    <n v="14"/>
    <s v="Afternoon"/>
    <n v="1"/>
    <x v="2"/>
    <x v="2"/>
    <n v="48"/>
    <x v="1"/>
    <x v="6"/>
    <s v="English Breakfast Rg"/>
    <s v="2.5"/>
    <x v="11"/>
    <s v="Weekday"/>
  </r>
  <r>
    <x v="846"/>
    <d v="2023-01-02T00:00:00"/>
    <n v="2023"/>
    <n v="1"/>
    <s v="Jan"/>
    <n v="2"/>
    <s v="Mon"/>
    <d v="2026-06-30T16:36:56"/>
    <n v="14"/>
    <s v="Afternoon"/>
    <n v="2"/>
    <x v="0"/>
    <x v="0"/>
    <n v="87"/>
    <x v="0"/>
    <x v="5"/>
    <s v="Ouro Brasileiro shot"/>
    <s v="3"/>
    <x v="0"/>
    <s v="Weekday"/>
  </r>
  <r>
    <x v="847"/>
    <d v="2023-01-02T00:00:00"/>
    <n v="2023"/>
    <n v="1"/>
    <s v="Jan"/>
    <n v="2"/>
    <s v="Mon"/>
    <d v="2026-06-30T16:37:44"/>
    <n v="14"/>
    <s v="Afternoon"/>
    <n v="2"/>
    <x v="1"/>
    <x v="1"/>
    <n v="52"/>
    <x v="1"/>
    <x v="1"/>
    <s v="Traditional Blend Chai Rg"/>
    <s v="2.5"/>
    <x v="17"/>
    <s v="Weekday"/>
  </r>
  <r>
    <x v="848"/>
    <d v="2023-01-02T00:00:00"/>
    <n v="2023"/>
    <n v="1"/>
    <s v="Jan"/>
    <n v="2"/>
    <s v="Mon"/>
    <d v="2026-06-30T16:39:18"/>
    <n v="14"/>
    <s v="Afternoon"/>
    <n v="1"/>
    <x v="1"/>
    <x v="1"/>
    <n v="24"/>
    <x v="0"/>
    <x v="3"/>
    <s v="Our Old Time Diner Blend Lg"/>
    <s v="3"/>
    <x v="4"/>
    <s v="Weekday"/>
  </r>
  <r>
    <x v="849"/>
    <d v="2023-01-02T00:00:00"/>
    <n v="2023"/>
    <n v="1"/>
    <s v="Jan"/>
    <n v="2"/>
    <s v="Mon"/>
    <d v="2026-06-30T16:40:25"/>
    <n v="14"/>
    <s v="Afternoon"/>
    <n v="2"/>
    <x v="2"/>
    <x v="2"/>
    <n v="40"/>
    <x v="0"/>
    <x v="5"/>
    <s v="Cappuccino"/>
    <s v="3.75"/>
    <x v="16"/>
    <s v="Weekday"/>
  </r>
  <r>
    <x v="850"/>
    <d v="2023-01-02T00:00:00"/>
    <n v="2023"/>
    <n v="1"/>
    <s v="Jan"/>
    <n v="2"/>
    <s v="Mon"/>
    <d v="2026-06-30T16:42:21"/>
    <n v="14"/>
    <s v="Afternoon"/>
    <n v="1"/>
    <x v="2"/>
    <x v="2"/>
    <n v="47"/>
    <x v="1"/>
    <x v="7"/>
    <s v="Serenity Green Tea Lg"/>
    <s v="3"/>
    <x v="4"/>
    <s v="Weekday"/>
  </r>
  <r>
    <x v="851"/>
    <d v="2023-01-02T00:00:00"/>
    <n v="2023"/>
    <n v="1"/>
    <s v="Jan"/>
    <n v="2"/>
    <s v="Mon"/>
    <d v="2026-06-30T16:42:21"/>
    <n v="14"/>
    <s v="Afternoon"/>
    <n v="1"/>
    <x v="2"/>
    <x v="2"/>
    <n v="72"/>
    <x v="3"/>
    <x v="4"/>
    <s v="Ginger Scone"/>
    <s v="3.25"/>
    <x v="14"/>
    <s v="Weekday"/>
  </r>
  <r>
    <x v="852"/>
    <d v="2023-01-02T00:00:00"/>
    <n v="2023"/>
    <n v="1"/>
    <s v="Jan"/>
    <n v="2"/>
    <s v="Mon"/>
    <d v="2026-06-30T16:44:28"/>
    <n v="14"/>
    <s v="Afternoon"/>
    <n v="2"/>
    <x v="0"/>
    <x v="0"/>
    <n v="52"/>
    <x v="1"/>
    <x v="1"/>
    <s v="Traditional Blend Chai Rg"/>
    <s v="2.5"/>
    <x v="17"/>
    <s v="Weekday"/>
  </r>
  <r>
    <x v="853"/>
    <d v="2023-01-02T00:00:00"/>
    <n v="2023"/>
    <n v="1"/>
    <s v="Jan"/>
    <n v="2"/>
    <s v="Mon"/>
    <d v="2026-06-30T16:46:31"/>
    <n v="14"/>
    <s v="Afternoon"/>
    <n v="2"/>
    <x v="1"/>
    <x v="1"/>
    <n v="23"/>
    <x v="0"/>
    <x v="3"/>
    <s v="Our Old Time Diner Blend Rg"/>
    <s v="2.5"/>
    <x v="17"/>
    <s v="Weekday"/>
  </r>
  <r>
    <x v="854"/>
    <d v="2023-01-02T00:00:00"/>
    <n v="2023"/>
    <n v="1"/>
    <s v="Jan"/>
    <n v="2"/>
    <s v="Mon"/>
    <d v="2026-06-30T16:48:02"/>
    <n v="14"/>
    <s v="Afternoon"/>
    <n v="2"/>
    <x v="0"/>
    <x v="0"/>
    <n v="27"/>
    <x v="0"/>
    <x v="11"/>
    <s v="Brazilian Lg"/>
    <s v="3.5"/>
    <x v="7"/>
    <s v="Weekday"/>
  </r>
  <r>
    <x v="855"/>
    <d v="2023-01-02T00:00:00"/>
    <n v="2023"/>
    <n v="1"/>
    <s v="Jan"/>
    <n v="2"/>
    <s v="Mon"/>
    <d v="2026-06-30T16:48:05"/>
    <n v="14"/>
    <s v="Afternoon"/>
    <n v="1"/>
    <x v="0"/>
    <x v="0"/>
    <n v="41"/>
    <x v="0"/>
    <x v="5"/>
    <s v="Cappuccino Lg"/>
    <s v="4.25"/>
    <x v="6"/>
    <s v="Weekday"/>
  </r>
  <r>
    <x v="856"/>
    <d v="2023-01-02T00:00:00"/>
    <n v="2023"/>
    <n v="1"/>
    <s v="Jan"/>
    <n v="2"/>
    <s v="Mon"/>
    <d v="2026-06-30T16:48:53"/>
    <n v="14"/>
    <s v="Afternoon"/>
    <n v="1"/>
    <x v="1"/>
    <x v="1"/>
    <n v="32"/>
    <x v="0"/>
    <x v="0"/>
    <s v="Ethiopia Rg"/>
    <s v="3"/>
    <x v="4"/>
    <s v="Weekday"/>
  </r>
  <r>
    <x v="857"/>
    <d v="2023-01-02T00:00:00"/>
    <n v="2023"/>
    <n v="1"/>
    <s v="Jan"/>
    <n v="2"/>
    <s v="Mon"/>
    <d v="2026-06-30T16:51:11"/>
    <n v="14"/>
    <s v="Afternoon"/>
    <n v="1"/>
    <x v="2"/>
    <x v="2"/>
    <n v="36"/>
    <x v="0"/>
    <x v="12"/>
    <s v="Jamaican Coffee River Lg"/>
    <s v="3.75"/>
    <x v="10"/>
    <s v="Weekday"/>
  </r>
  <r>
    <x v="858"/>
    <d v="2023-01-02T00:00:00"/>
    <n v="2023"/>
    <n v="1"/>
    <s v="Jan"/>
    <n v="2"/>
    <s v="Mon"/>
    <d v="2026-06-30T16:52:26"/>
    <n v="14"/>
    <s v="Afternoon"/>
    <n v="1"/>
    <x v="0"/>
    <x v="0"/>
    <n v="46"/>
    <x v="1"/>
    <x v="7"/>
    <s v="Serenity Green Tea Rg"/>
    <s v="2.5"/>
    <x v="11"/>
    <s v="Weekday"/>
  </r>
  <r>
    <x v="859"/>
    <d v="2023-01-02T00:00:00"/>
    <n v="2023"/>
    <n v="1"/>
    <s v="Jan"/>
    <n v="2"/>
    <s v="Mon"/>
    <d v="2026-06-30T16:52:26"/>
    <n v="14"/>
    <s v="Afternoon"/>
    <n v="1"/>
    <x v="0"/>
    <x v="0"/>
    <n v="76"/>
    <x v="3"/>
    <x v="9"/>
    <s v="Chocolate Chip Biscotti"/>
    <s v="3.5"/>
    <x v="15"/>
    <s v="Weekday"/>
  </r>
  <r>
    <x v="860"/>
    <d v="2023-01-02T00:00:00"/>
    <n v="2023"/>
    <n v="1"/>
    <s v="Jan"/>
    <n v="2"/>
    <s v="Mon"/>
    <d v="2026-06-30T16:54:33"/>
    <n v="14"/>
    <s v="Afternoon"/>
    <n v="2"/>
    <x v="2"/>
    <x v="2"/>
    <n v="37"/>
    <x v="0"/>
    <x v="5"/>
    <s v="Espresso shot"/>
    <s v="3"/>
    <x v="0"/>
    <s v="Weekday"/>
  </r>
  <r>
    <x v="861"/>
    <d v="2023-01-02T00:00:00"/>
    <n v="2023"/>
    <n v="1"/>
    <s v="Jan"/>
    <n v="2"/>
    <s v="Mon"/>
    <d v="2026-06-30T16:54:40"/>
    <n v="14"/>
    <s v="Afternoon"/>
    <n v="1"/>
    <x v="0"/>
    <x v="0"/>
    <n v="87"/>
    <x v="0"/>
    <x v="5"/>
    <s v="Ouro Brasileiro shot"/>
    <s v="3"/>
    <x v="4"/>
    <s v="Weekday"/>
  </r>
  <r>
    <x v="862"/>
    <d v="2023-01-02T00:00:00"/>
    <n v="2023"/>
    <n v="1"/>
    <s v="Jan"/>
    <n v="2"/>
    <s v="Mon"/>
    <d v="2026-06-30T16:54:46"/>
    <n v="14"/>
    <s v="Afternoon"/>
    <n v="2"/>
    <x v="0"/>
    <x v="0"/>
    <n v="52"/>
    <x v="1"/>
    <x v="1"/>
    <s v="Traditional Blend Chai Rg"/>
    <s v="2.5"/>
    <x v="17"/>
    <s v="Weekday"/>
  </r>
  <r>
    <x v="863"/>
    <d v="2023-01-02T00:00:00"/>
    <n v="2023"/>
    <n v="1"/>
    <s v="Jan"/>
    <n v="2"/>
    <s v="Mon"/>
    <d v="2026-06-30T16:55:38"/>
    <n v="14"/>
    <s v="Afternoon"/>
    <n v="2"/>
    <x v="1"/>
    <x v="1"/>
    <n v="36"/>
    <x v="0"/>
    <x v="12"/>
    <s v="Jamaican Coffee River Lg"/>
    <s v="3.75"/>
    <x v="16"/>
    <s v="Weekday"/>
  </r>
  <r>
    <x v="864"/>
    <d v="2023-01-02T00:00:00"/>
    <n v="2023"/>
    <n v="1"/>
    <s v="Jan"/>
    <n v="2"/>
    <s v="Mon"/>
    <d v="2026-06-30T16:58:21"/>
    <n v="14"/>
    <s v="Afternoon"/>
    <n v="2"/>
    <x v="1"/>
    <x v="1"/>
    <n v="87"/>
    <x v="0"/>
    <x v="5"/>
    <s v="Ouro Brasileiro shot"/>
    <s v="3"/>
    <x v="0"/>
    <s v="Weekday"/>
  </r>
  <r>
    <x v="865"/>
    <d v="2023-01-02T00:00:00"/>
    <n v="2023"/>
    <n v="1"/>
    <s v="Jan"/>
    <n v="2"/>
    <s v="Mon"/>
    <d v="2026-06-30T16:58:28"/>
    <n v="14"/>
    <s v="Afternoon"/>
    <n v="2"/>
    <x v="1"/>
    <x v="1"/>
    <n v="46"/>
    <x v="1"/>
    <x v="7"/>
    <s v="Serenity Green Tea Rg"/>
    <s v="2.5"/>
    <x v="17"/>
    <s v="Weekday"/>
  </r>
  <r>
    <x v="866"/>
    <d v="2023-01-02T00:00:00"/>
    <n v="2023"/>
    <n v="1"/>
    <s v="Jan"/>
    <n v="2"/>
    <s v="Mon"/>
    <d v="2026-06-30T16:59:08"/>
    <n v="14"/>
    <s v="Afternoon"/>
    <n v="1"/>
    <x v="1"/>
    <x v="1"/>
    <n v="30"/>
    <x v="0"/>
    <x v="0"/>
    <s v="Columbian Medium Roast Lg"/>
    <s v="3"/>
    <x v="4"/>
    <s v="Weekday"/>
  </r>
  <r>
    <x v="867"/>
    <d v="2023-01-02T00:00:00"/>
    <n v="2023"/>
    <n v="1"/>
    <s v="Jan"/>
    <n v="2"/>
    <s v="Mon"/>
    <d v="2026-06-30T17:03:12"/>
    <n v="15"/>
    <s v="Afternoon"/>
    <n v="2"/>
    <x v="2"/>
    <x v="2"/>
    <n v="26"/>
    <x v="0"/>
    <x v="11"/>
    <s v="Brazilian Rg"/>
    <s v="3"/>
    <x v="0"/>
    <s v="Weekday"/>
  </r>
  <r>
    <x v="868"/>
    <d v="2023-01-02T00:00:00"/>
    <n v="2023"/>
    <n v="1"/>
    <s v="Jan"/>
    <n v="2"/>
    <s v="Mon"/>
    <d v="2026-06-30T17:03:12"/>
    <n v="15"/>
    <s v="Afternoon"/>
    <n v="1"/>
    <x v="2"/>
    <x v="2"/>
    <n v="73"/>
    <x v="3"/>
    <x v="10"/>
    <s v="Almond Croissant"/>
    <s v="3.75"/>
    <x v="10"/>
    <s v="Weekday"/>
  </r>
  <r>
    <x v="869"/>
    <d v="2023-01-02T00:00:00"/>
    <n v="2023"/>
    <n v="1"/>
    <s v="Jan"/>
    <n v="2"/>
    <s v="Mon"/>
    <d v="2026-06-30T17:04:21"/>
    <n v="15"/>
    <s v="Afternoon"/>
    <n v="2"/>
    <x v="2"/>
    <x v="2"/>
    <n v="23"/>
    <x v="0"/>
    <x v="3"/>
    <s v="Our Old Time Diner Blend Rg"/>
    <s v="2.5"/>
    <x v="17"/>
    <s v="Weekday"/>
  </r>
  <r>
    <x v="870"/>
    <d v="2023-01-02T00:00:00"/>
    <n v="2023"/>
    <n v="1"/>
    <s v="Jan"/>
    <n v="2"/>
    <s v="Mon"/>
    <d v="2026-06-30T17:05:22"/>
    <n v="15"/>
    <s v="Afternoon"/>
    <n v="1"/>
    <x v="2"/>
    <x v="2"/>
    <n v="27"/>
    <x v="0"/>
    <x v="11"/>
    <s v="Brazilian Lg"/>
    <s v="3.5"/>
    <x v="15"/>
    <s v="Weekday"/>
  </r>
  <r>
    <x v="871"/>
    <d v="2023-01-02T00:00:00"/>
    <n v="2023"/>
    <n v="1"/>
    <s v="Jan"/>
    <n v="2"/>
    <s v="Mon"/>
    <d v="2026-06-30T17:05:22"/>
    <n v="15"/>
    <s v="Afternoon"/>
    <n v="1"/>
    <x v="2"/>
    <x v="2"/>
    <n v="79"/>
    <x v="3"/>
    <x v="4"/>
    <s v="Jumbo Savory Scone"/>
    <s v="3.75"/>
    <x v="10"/>
    <s v="Weekday"/>
  </r>
  <r>
    <x v="872"/>
    <d v="2023-01-02T00:00:00"/>
    <n v="2023"/>
    <n v="1"/>
    <s v="Jan"/>
    <n v="2"/>
    <s v="Mon"/>
    <d v="2026-06-30T17:09:48"/>
    <n v="15"/>
    <s v="Afternoon"/>
    <n v="2"/>
    <x v="0"/>
    <x v="0"/>
    <n v="31"/>
    <x v="0"/>
    <x v="0"/>
    <s v="Ethiopia Sm"/>
    <s v="2.2"/>
    <x v="19"/>
    <s v="Weekday"/>
  </r>
  <r>
    <x v="873"/>
    <d v="2023-01-02T00:00:00"/>
    <n v="2023"/>
    <n v="1"/>
    <s v="Jan"/>
    <n v="2"/>
    <s v="Mon"/>
    <d v="2026-06-30T17:10:48"/>
    <n v="15"/>
    <s v="Afternoon"/>
    <n v="1"/>
    <x v="1"/>
    <x v="1"/>
    <n v="44"/>
    <x v="1"/>
    <x v="8"/>
    <s v="Peppermint Rg"/>
    <s v="2.5"/>
    <x v="11"/>
    <s v="Weekday"/>
  </r>
  <r>
    <x v="874"/>
    <d v="2023-01-02T00:00:00"/>
    <n v="2023"/>
    <n v="1"/>
    <s v="Jan"/>
    <n v="2"/>
    <s v="Mon"/>
    <d v="2026-06-30T17:12:44"/>
    <n v="15"/>
    <s v="Afternoon"/>
    <n v="1"/>
    <x v="2"/>
    <x v="2"/>
    <n v="52"/>
    <x v="1"/>
    <x v="1"/>
    <s v="Traditional Blend Chai Rg"/>
    <s v="2.5"/>
    <x v="11"/>
    <s v="Weekday"/>
  </r>
  <r>
    <x v="875"/>
    <d v="2023-01-02T00:00:00"/>
    <n v="2023"/>
    <n v="1"/>
    <s v="Jan"/>
    <n v="2"/>
    <s v="Mon"/>
    <d v="2026-06-30T17:15:03"/>
    <n v="15"/>
    <s v="Afternoon"/>
    <n v="1"/>
    <x v="2"/>
    <x v="2"/>
    <n v="40"/>
    <x v="0"/>
    <x v="5"/>
    <s v="Cappuccino"/>
    <s v="3.75"/>
    <x v="10"/>
    <s v="Weekday"/>
  </r>
  <r>
    <x v="876"/>
    <d v="2023-01-02T00:00:00"/>
    <n v="2023"/>
    <n v="1"/>
    <s v="Jan"/>
    <n v="2"/>
    <s v="Mon"/>
    <d v="2026-06-30T17:15:03"/>
    <n v="15"/>
    <s v="Afternoon"/>
    <n v="1"/>
    <x v="2"/>
    <x v="2"/>
    <n v="77"/>
    <x v="3"/>
    <x v="4"/>
    <s v="Oatmeal Scone"/>
    <s v="3"/>
    <x v="4"/>
    <s v="Weekday"/>
  </r>
  <r>
    <x v="877"/>
    <d v="2023-01-02T00:00:00"/>
    <n v="2023"/>
    <n v="1"/>
    <s v="Jan"/>
    <n v="2"/>
    <s v="Mon"/>
    <d v="2026-06-30T17:18:41"/>
    <n v="15"/>
    <s v="Afternoon"/>
    <n v="1"/>
    <x v="0"/>
    <x v="0"/>
    <n v="59"/>
    <x v="2"/>
    <x v="2"/>
    <s v="Dark chocolate Lg"/>
    <s v="4.5"/>
    <x v="18"/>
    <s v="Weekday"/>
  </r>
  <r>
    <x v="878"/>
    <d v="2023-01-02T00:00:00"/>
    <n v="2023"/>
    <n v="1"/>
    <s v="Jan"/>
    <n v="2"/>
    <s v="Mon"/>
    <d v="2026-06-30T17:19:46"/>
    <n v="15"/>
    <s v="Afternoon"/>
    <n v="1"/>
    <x v="2"/>
    <x v="2"/>
    <n v="53"/>
    <x v="1"/>
    <x v="1"/>
    <s v="Traditional Blend Chai Lg"/>
    <s v="3"/>
    <x v="4"/>
    <s v="Weekday"/>
  </r>
  <r>
    <x v="879"/>
    <d v="2023-01-02T00:00:00"/>
    <n v="2023"/>
    <n v="1"/>
    <s v="Jan"/>
    <n v="2"/>
    <s v="Mon"/>
    <d v="2026-06-30T17:21:45"/>
    <n v="15"/>
    <s v="Afternoon"/>
    <n v="2"/>
    <x v="2"/>
    <x v="2"/>
    <n v="47"/>
    <x v="1"/>
    <x v="7"/>
    <s v="Serenity Green Tea Lg"/>
    <s v="3"/>
    <x v="0"/>
    <s v="Weekday"/>
  </r>
  <r>
    <x v="880"/>
    <d v="2023-01-02T00:00:00"/>
    <n v="2023"/>
    <n v="1"/>
    <s v="Jan"/>
    <n v="2"/>
    <s v="Mon"/>
    <d v="2026-06-30T17:22:19"/>
    <n v="15"/>
    <s v="Afternoon"/>
    <n v="2"/>
    <x v="1"/>
    <x v="1"/>
    <n v="28"/>
    <x v="0"/>
    <x v="0"/>
    <s v="Columbian Medium Roast Sm"/>
    <s v="2"/>
    <x v="5"/>
    <s v="Weekday"/>
  </r>
  <r>
    <x v="881"/>
    <d v="2023-01-02T00:00:00"/>
    <n v="2023"/>
    <n v="1"/>
    <s v="Jan"/>
    <n v="2"/>
    <s v="Mon"/>
    <d v="2026-06-30T17:23:29"/>
    <n v="15"/>
    <s v="Afternoon"/>
    <n v="2"/>
    <x v="1"/>
    <x v="1"/>
    <n v="45"/>
    <x v="1"/>
    <x v="8"/>
    <s v="Peppermint Lg"/>
    <s v="3"/>
    <x v="0"/>
    <s v="Weekday"/>
  </r>
  <r>
    <x v="882"/>
    <d v="2023-01-02T00:00:00"/>
    <n v="2023"/>
    <n v="1"/>
    <s v="Jan"/>
    <n v="2"/>
    <s v="Mon"/>
    <d v="2026-06-30T17:24:16"/>
    <n v="15"/>
    <s v="Afternoon"/>
    <n v="1"/>
    <x v="2"/>
    <x v="2"/>
    <n v="60"/>
    <x v="2"/>
    <x v="2"/>
    <s v="Sustainably Grown Organic Rg"/>
    <s v="3.75"/>
    <x v="10"/>
    <s v="Weekday"/>
  </r>
  <r>
    <x v="883"/>
    <d v="2023-01-02T00:00:00"/>
    <n v="2023"/>
    <n v="1"/>
    <s v="Jan"/>
    <n v="2"/>
    <s v="Mon"/>
    <d v="2026-06-30T17:24:52"/>
    <n v="15"/>
    <s v="Afternoon"/>
    <n v="2"/>
    <x v="0"/>
    <x v="0"/>
    <n v="48"/>
    <x v="1"/>
    <x v="6"/>
    <s v="English Breakfast Rg"/>
    <s v="2.5"/>
    <x v="17"/>
    <s v="Weekday"/>
  </r>
  <r>
    <x v="884"/>
    <d v="2023-01-02T00:00:00"/>
    <n v="2023"/>
    <n v="1"/>
    <s v="Jan"/>
    <n v="2"/>
    <s v="Mon"/>
    <d v="2026-06-30T17:26:08"/>
    <n v="15"/>
    <s v="Afternoon"/>
    <n v="1"/>
    <x v="2"/>
    <x v="2"/>
    <n v="50"/>
    <x v="1"/>
    <x v="6"/>
    <s v="Earl Grey Rg"/>
    <s v="2.5"/>
    <x v="11"/>
    <s v="Weekday"/>
  </r>
  <r>
    <x v="885"/>
    <d v="2023-01-02T00:00:00"/>
    <n v="2023"/>
    <n v="1"/>
    <s v="Jan"/>
    <n v="2"/>
    <s v="Mon"/>
    <d v="2026-06-30T17:26:22"/>
    <n v="15"/>
    <s v="Afternoon"/>
    <n v="2"/>
    <x v="0"/>
    <x v="0"/>
    <n v="42"/>
    <x v="1"/>
    <x v="8"/>
    <s v="Lemon Grass Rg"/>
    <s v="2.5"/>
    <x v="17"/>
    <s v="Weekday"/>
  </r>
  <r>
    <x v="886"/>
    <d v="2023-01-02T00:00:00"/>
    <n v="2023"/>
    <n v="1"/>
    <s v="Jan"/>
    <n v="2"/>
    <s v="Mon"/>
    <d v="2026-06-30T17:26:22"/>
    <n v="15"/>
    <s v="Afternoon"/>
    <n v="1"/>
    <x v="0"/>
    <x v="0"/>
    <n v="69"/>
    <x v="3"/>
    <x v="9"/>
    <s v="Hazelnut Biscotti"/>
    <s v="3.25"/>
    <x v="14"/>
    <s v="Weekday"/>
  </r>
  <r>
    <x v="887"/>
    <d v="2023-01-02T00:00:00"/>
    <n v="2023"/>
    <n v="1"/>
    <s v="Jan"/>
    <n v="2"/>
    <s v="Mon"/>
    <d v="2026-06-30T17:27:43"/>
    <n v="15"/>
    <s v="Afternoon"/>
    <n v="1"/>
    <x v="2"/>
    <x v="2"/>
    <n v="58"/>
    <x v="2"/>
    <x v="2"/>
    <s v="Dark chocolate Rg"/>
    <s v="3.5"/>
    <x v="15"/>
    <s v="Weekday"/>
  </r>
  <r>
    <x v="888"/>
    <d v="2023-01-02T00:00:00"/>
    <n v="2023"/>
    <n v="1"/>
    <s v="Jan"/>
    <n v="2"/>
    <s v="Mon"/>
    <d v="2026-06-30T17:27:48"/>
    <n v="15"/>
    <s v="Afternoon"/>
    <n v="1"/>
    <x v="2"/>
    <x v="2"/>
    <n v="41"/>
    <x v="0"/>
    <x v="5"/>
    <s v="Cappuccino Lg"/>
    <s v="4.25"/>
    <x v="6"/>
    <s v="Weekday"/>
  </r>
  <r>
    <x v="889"/>
    <d v="2023-01-02T00:00:00"/>
    <n v="2023"/>
    <n v="1"/>
    <s v="Jan"/>
    <n v="2"/>
    <s v="Mon"/>
    <d v="2026-06-30T17:28:35"/>
    <n v="15"/>
    <s v="Afternoon"/>
    <n v="2"/>
    <x v="0"/>
    <x v="0"/>
    <n v="87"/>
    <x v="0"/>
    <x v="5"/>
    <s v="Ouro Brasileiro shot"/>
    <s v="3"/>
    <x v="0"/>
    <s v="Weekday"/>
  </r>
  <r>
    <x v="890"/>
    <d v="2023-01-02T00:00:00"/>
    <n v="2023"/>
    <n v="1"/>
    <s v="Jan"/>
    <n v="2"/>
    <s v="Mon"/>
    <d v="2026-06-30T17:29:31"/>
    <n v="15"/>
    <s v="Afternoon"/>
    <n v="2"/>
    <x v="0"/>
    <x v="0"/>
    <n v="44"/>
    <x v="1"/>
    <x v="8"/>
    <s v="Peppermint Rg"/>
    <s v="2.5"/>
    <x v="17"/>
    <s v="Weekday"/>
  </r>
  <r>
    <x v="891"/>
    <d v="2023-01-02T00:00:00"/>
    <n v="2023"/>
    <n v="1"/>
    <s v="Jan"/>
    <n v="2"/>
    <s v="Mon"/>
    <d v="2026-06-30T17:30:51"/>
    <n v="15"/>
    <s v="Afternoon"/>
    <n v="1"/>
    <x v="1"/>
    <x v="1"/>
    <n v="40"/>
    <x v="0"/>
    <x v="5"/>
    <s v="Cappuccino"/>
    <s v="3.75"/>
    <x v="10"/>
    <s v="Weekday"/>
  </r>
  <r>
    <x v="892"/>
    <d v="2023-01-02T00:00:00"/>
    <n v="2023"/>
    <n v="1"/>
    <s v="Jan"/>
    <n v="2"/>
    <s v="Mon"/>
    <d v="2026-06-30T17:32:44"/>
    <n v="15"/>
    <s v="Afternoon"/>
    <n v="2"/>
    <x v="1"/>
    <x v="1"/>
    <n v="45"/>
    <x v="1"/>
    <x v="8"/>
    <s v="Peppermint Lg"/>
    <s v="3"/>
    <x v="0"/>
    <s v="Weekday"/>
  </r>
  <r>
    <x v="893"/>
    <d v="2023-01-02T00:00:00"/>
    <n v="2023"/>
    <n v="1"/>
    <s v="Jan"/>
    <n v="2"/>
    <s v="Mon"/>
    <d v="2026-06-30T17:34:44"/>
    <n v="15"/>
    <s v="Afternoon"/>
    <n v="2"/>
    <x v="0"/>
    <x v="0"/>
    <n v="34"/>
    <x v="0"/>
    <x v="12"/>
    <s v="Jamaican Coffee River Sm"/>
    <s v="2.45"/>
    <x v="25"/>
    <s v="Weekday"/>
  </r>
  <r>
    <x v="894"/>
    <d v="2023-01-02T00:00:00"/>
    <n v="2023"/>
    <n v="1"/>
    <s v="Jan"/>
    <n v="2"/>
    <s v="Mon"/>
    <d v="2026-06-30T17:35:22"/>
    <n v="15"/>
    <s v="Afternoon"/>
    <n v="1"/>
    <x v="1"/>
    <x v="1"/>
    <n v="53"/>
    <x v="1"/>
    <x v="1"/>
    <s v="Traditional Blend Chai Lg"/>
    <s v="3"/>
    <x v="4"/>
    <s v="Weekday"/>
  </r>
  <r>
    <x v="895"/>
    <d v="2023-01-02T00:00:00"/>
    <n v="2023"/>
    <n v="1"/>
    <s v="Jan"/>
    <n v="2"/>
    <s v="Mon"/>
    <d v="2026-06-30T17:35:22"/>
    <n v="15"/>
    <s v="Afternoon"/>
    <n v="1"/>
    <x v="1"/>
    <x v="1"/>
    <n v="69"/>
    <x v="3"/>
    <x v="9"/>
    <s v="Hazelnut Biscotti"/>
    <s v="3.25"/>
    <x v="14"/>
    <s v="Weekday"/>
  </r>
  <r>
    <x v="896"/>
    <d v="2023-01-02T00:00:00"/>
    <n v="2023"/>
    <n v="1"/>
    <s v="Jan"/>
    <n v="2"/>
    <s v="Mon"/>
    <d v="2026-06-30T17:35:30"/>
    <n v="15"/>
    <s v="Afternoon"/>
    <n v="2"/>
    <x v="0"/>
    <x v="0"/>
    <n v="60"/>
    <x v="2"/>
    <x v="2"/>
    <s v="Sustainably Grown Organic Rg"/>
    <s v="3.75"/>
    <x v="16"/>
    <s v="Weekday"/>
  </r>
  <r>
    <x v="897"/>
    <d v="2023-01-02T00:00:00"/>
    <n v="2023"/>
    <n v="1"/>
    <s v="Jan"/>
    <n v="2"/>
    <s v="Mon"/>
    <d v="2026-06-30T17:35:30"/>
    <n v="15"/>
    <s v="Afternoon"/>
    <n v="1"/>
    <x v="0"/>
    <x v="0"/>
    <n v="70"/>
    <x v="3"/>
    <x v="4"/>
    <s v="Cranberry Scone"/>
    <s v="3.25"/>
    <x v="14"/>
    <s v="Weekday"/>
  </r>
  <r>
    <x v="898"/>
    <d v="2023-01-02T00:00:00"/>
    <n v="2023"/>
    <n v="1"/>
    <s v="Jan"/>
    <n v="2"/>
    <s v="Mon"/>
    <d v="2026-06-30T17:36:29"/>
    <n v="15"/>
    <s v="Afternoon"/>
    <n v="2"/>
    <x v="1"/>
    <x v="1"/>
    <n v="46"/>
    <x v="1"/>
    <x v="7"/>
    <s v="Serenity Green Tea Rg"/>
    <s v="2.5"/>
    <x v="17"/>
    <s v="Weekday"/>
  </r>
  <r>
    <x v="899"/>
    <d v="2023-01-02T00:00:00"/>
    <n v="2023"/>
    <n v="1"/>
    <s v="Jan"/>
    <n v="2"/>
    <s v="Mon"/>
    <d v="2026-06-30T17:36:47"/>
    <n v="15"/>
    <s v="Afternoon"/>
    <n v="2"/>
    <x v="2"/>
    <x v="2"/>
    <n v="23"/>
    <x v="0"/>
    <x v="3"/>
    <s v="Our Old Time Diner Blend Rg"/>
    <s v="2.5"/>
    <x v="17"/>
    <s v="Weekday"/>
  </r>
  <r>
    <x v="900"/>
    <d v="2023-01-02T00:00:00"/>
    <n v="2023"/>
    <n v="1"/>
    <s v="Jan"/>
    <n v="2"/>
    <s v="Mon"/>
    <d v="2026-06-30T17:37:20"/>
    <n v="15"/>
    <s v="Afternoon"/>
    <n v="2"/>
    <x v="1"/>
    <x v="1"/>
    <n v="33"/>
    <x v="0"/>
    <x v="0"/>
    <s v="Ethiopia Lg"/>
    <s v="3.5"/>
    <x v="7"/>
    <s v="Weekday"/>
  </r>
  <r>
    <x v="901"/>
    <d v="2023-01-02T00:00:00"/>
    <n v="2023"/>
    <n v="1"/>
    <s v="Jan"/>
    <n v="2"/>
    <s v="Mon"/>
    <d v="2026-06-30T17:37:20"/>
    <n v="15"/>
    <s v="Afternoon"/>
    <n v="1"/>
    <x v="1"/>
    <x v="1"/>
    <n v="69"/>
    <x v="3"/>
    <x v="9"/>
    <s v="Hazelnut Biscotti"/>
    <s v="3.25"/>
    <x v="14"/>
    <s v="Weekday"/>
  </r>
  <r>
    <x v="902"/>
    <d v="2023-01-02T00:00:00"/>
    <n v="2023"/>
    <n v="1"/>
    <s v="Jan"/>
    <n v="2"/>
    <s v="Mon"/>
    <d v="2026-06-30T17:38:44"/>
    <n v="15"/>
    <s v="Afternoon"/>
    <n v="2"/>
    <x v="0"/>
    <x v="0"/>
    <n v="47"/>
    <x v="1"/>
    <x v="7"/>
    <s v="Serenity Green Tea Lg"/>
    <s v="3"/>
    <x v="0"/>
    <s v="Weekday"/>
  </r>
  <r>
    <x v="903"/>
    <d v="2023-01-02T00:00:00"/>
    <n v="2023"/>
    <n v="1"/>
    <s v="Jan"/>
    <n v="2"/>
    <s v="Mon"/>
    <d v="2026-06-30T17:41:09"/>
    <n v="15"/>
    <s v="Afternoon"/>
    <n v="1"/>
    <x v="1"/>
    <x v="1"/>
    <n v="52"/>
    <x v="1"/>
    <x v="1"/>
    <s v="Traditional Blend Chai Rg"/>
    <s v="2.5"/>
    <x v="11"/>
    <s v="Weekday"/>
  </r>
  <r>
    <x v="904"/>
    <d v="2023-01-02T00:00:00"/>
    <n v="2023"/>
    <n v="1"/>
    <s v="Jan"/>
    <n v="2"/>
    <s v="Mon"/>
    <d v="2026-06-30T17:41:09"/>
    <n v="15"/>
    <s v="Afternoon"/>
    <n v="1"/>
    <x v="1"/>
    <x v="1"/>
    <n v="69"/>
    <x v="3"/>
    <x v="9"/>
    <s v="Hazelnut Biscotti"/>
    <s v="3.25"/>
    <x v="14"/>
    <s v="Weekday"/>
  </r>
  <r>
    <x v="905"/>
    <d v="2023-01-02T00:00:00"/>
    <n v="2023"/>
    <n v="1"/>
    <s v="Jan"/>
    <n v="2"/>
    <s v="Mon"/>
    <d v="2026-06-30T17:41:55"/>
    <n v="15"/>
    <s v="Afternoon"/>
    <n v="2"/>
    <x v="0"/>
    <x v="0"/>
    <n v="47"/>
    <x v="1"/>
    <x v="7"/>
    <s v="Serenity Green Tea Lg"/>
    <s v="3"/>
    <x v="0"/>
    <s v="Weekday"/>
  </r>
  <r>
    <x v="906"/>
    <d v="2023-01-02T00:00:00"/>
    <n v="2023"/>
    <n v="1"/>
    <s v="Jan"/>
    <n v="2"/>
    <s v="Mon"/>
    <d v="2026-06-30T17:41:55"/>
    <n v="15"/>
    <s v="Afternoon"/>
    <n v="1"/>
    <x v="0"/>
    <x v="0"/>
    <n v="74"/>
    <x v="3"/>
    <x v="9"/>
    <s v="Ginger Biscotti"/>
    <s v="3.5"/>
    <x v="15"/>
    <s v="Weekday"/>
  </r>
  <r>
    <x v="907"/>
    <d v="2023-01-02T00:00:00"/>
    <n v="2023"/>
    <n v="1"/>
    <s v="Jan"/>
    <n v="2"/>
    <s v="Mon"/>
    <d v="2026-06-30T17:42:50"/>
    <n v="15"/>
    <s v="Afternoon"/>
    <n v="1"/>
    <x v="1"/>
    <x v="1"/>
    <n v="23"/>
    <x v="0"/>
    <x v="3"/>
    <s v="Our Old Time Diner Blend Rg"/>
    <s v="2.5"/>
    <x v="11"/>
    <s v="Weekday"/>
  </r>
  <r>
    <x v="908"/>
    <d v="2023-01-02T00:00:00"/>
    <n v="2023"/>
    <n v="1"/>
    <s v="Jan"/>
    <n v="2"/>
    <s v="Mon"/>
    <d v="2026-06-30T17:44:59"/>
    <n v="15"/>
    <s v="Afternoon"/>
    <n v="2"/>
    <x v="2"/>
    <x v="2"/>
    <n v="44"/>
    <x v="1"/>
    <x v="8"/>
    <s v="Peppermint Rg"/>
    <s v="2.5"/>
    <x v="17"/>
    <s v="Weekday"/>
  </r>
  <r>
    <x v="909"/>
    <d v="2023-01-02T00:00:00"/>
    <n v="2023"/>
    <n v="1"/>
    <s v="Jan"/>
    <n v="2"/>
    <s v="Mon"/>
    <d v="2026-06-30T17:48:55"/>
    <n v="15"/>
    <s v="Afternoon"/>
    <n v="1"/>
    <x v="0"/>
    <x v="0"/>
    <n v="46"/>
    <x v="1"/>
    <x v="7"/>
    <s v="Serenity Green Tea Rg"/>
    <s v="2.5"/>
    <x v="11"/>
    <s v="Weekday"/>
  </r>
  <r>
    <x v="910"/>
    <d v="2023-01-02T00:00:00"/>
    <n v="2023"/>
    <n v="1"/>
    <s v="Jan"/>
    <n v="2"/>
    <s v="Mon"/>
    <d v="2026-06-30T17:48:55"/>
    <n v="15"/>
    <s v="Afternoon"/>
    <n v="1"/>
    <x v="0"/>
    <x v="0"/>
    <n v="73"/>
    <x v="3"/>
    <x v="10"/>
    <s v="Almond Croissant"/>
    <s v="3.75"/>
    <x v="10"/>
    <s v="Weekday"/>
  </r>
  <r>
    <x v="911"/>
    <d v="2023-01-02T00:00:00"/>
    <n v="2023"/>
    <n v="1"/>
    <s v="Jan"/>
    <n v="2"/>
    <s v="Mon"/>
    <d v="2026-06-30T17:49:27"/>
    <n v="15"/>
    <s v="Afternoon"/>
    <n v="1"/>
    <x v="0"/>
    <x v="0"/>
    <n v="42"/>
    <x v="1"/>
    <x v="8"/>
    <s v="Lemon Grass Rg"/>
    <s v="2.5"/>
    <x v="11"/>
    <s v="Weekday"/>
  </r>
  <r>
    <x v="912"/>
    <d v="2023-01-02T00:00:00"/>
    <n v="2023"/>
    <n v="1"/>
    <s v="Jan"/>
    <n v="2"/>
    <s v="Mon"/>
    <d v="2026-06-30T17:49:27"/>
    <n v="15"/>
    <s v="Afternoon"/>
    <n v="1"/>
    <x v="0"/>
    <x v="0"/>
    <n v="78"/>
    <x v="3"/>
    <x v="4"/>
    <s v="Scottish Cream Scone "/>
    <s v="4.5"/>
    <x v="18"/>
    <s v="Weekday"/>
  </r>
  <r>
    <x v="913"/>
    <d v="2023-01-02T00:00:00"/>
    <n v="2023"/>
    <n v="1"/>
    <s v="Jan"/>
    <n v="2"/>
    <s v="Mon"/>
    <d v="2026-06-30T17:50:12"/>
    <n v="15"/>
    <s v="Afternoon"/>
    <n v="2"/>
    <x v="2"/>
    <x v="2"/>
    <n v="54"/>
    <x v="1"/>
    <x v="1"/>
    <s v="Morning Sunrise Chai Rg"/>
    <s v="2.5"/>
    <x v="17"/>
    <s v="Weekday"/>
  </r>
  <r>
    <x v="914"/>
    <d v="2023-01-02T00:00:00"/>
    <n v="2023"/>
    <n v="1"/>
    <s v="Jan"/>
    <n v="2"/>
    <s v="Mon"/>
    <d v="2026-06-30T17:50:12"/>
    <n v="15"/>
    <s v="Afternoon"/>
    <n v="1"/>
    <x v="2"/>
    <x v="2"/>
    <n v="79"/>
    <x v="3"/>
    <x v="4"/>
    <s v="Jumbo Savory Scone"/>
    <s v="3.75"/>
    <x v="10"/>
    <s v="Weekday"/>
  </r>
  <r>
    <x v="915"/>
    <d v="2023-01-02T00:00:00"/>
    <n v="2023"/>
    <n v="1"/>
    <s v="Jan"/>
    <n v="2"/>
    <s v="Mon"/>
    <d v="2026-06-30T17:50:27"/>
    <n v="15"/>
    <s v="Afternoon"/>
    <n v="2"/>
    <x v="0"/>
    <x v="0"/>
    <n v="47"/>
    <x v="1"/>
    <x v="7"/>
    <s v="Serenity Green Tea Lg"/>
    <s v="3"/>
    <x v="0"/>
    <s v="Weekday"/>
  </r>
  <r>
    <x v="916"/>
    <d v="2023-01-02T00:00:00"/>
    <n v="2023"/>
    <n v="1"/>
    <s v="Jan"/>
    <n v="2"/>
    <s v="Mon"/>
    <d v="2026-06-30T17:50:28"/>
    <n v="15"/>
    <s v="Afternoon"/>
    <n v="2"/>
    <x v="1"/>
    <x v="1"/>
    <n v="46"/>
    <x v="1"/>
    <x v="7"/>
    <s v="Serenity Green Tea Rg"/>
    <s v="2.5"/>
    <x v="17"/>
    <s v="Weekday"/>
  </r>
  <r>
    <x v="917"/>
    <d v="2023-01-02T00:00:00"/>
    <n v="2023"/>
    <n v="1"/>
    <s v="Jan"/>
    <n v="2"/>
    <s v="Mon"/>
    <d v="2026-06-30T17:51:29"/>
    <n v="15"/>
    <s v="Afternoon"/>
    <n v="1"/>
    <x v="0"/>
    <x v="0"/>
    <n v="34"/>
    <x v="0"/>
    <x v="12"/>
    <s v="Jamaican Coffee River Sm"/>
    <s v="2.45"/>
    <x v="20"/>
    <s v="Weekday"/>
  </r>
  <r>
    <x v="918"/>
    <d v="2023-01-02T00:00:00"/>
    <n v="2023"/>
    <n v="1"/>
    <s v="Jan"/>
    <n v="2"/>
    <s v="Mon"/>
    <d v="2026-06-30T17:51:57"/>
    <n v="15"/>
    <s v="Afternoon"/>
    <n v="2"/>
    <x v="0"/>
    <x v="0"/>
    <n v="38"/>
    <x v="0"/>
    <x v="5"/>
    <s v="Latte"/>
    <s v="3.75"/>
    <x v="16"/>
    <s v="Weekday"/>
  </r>
  <r>
    <x v="919"/>
    <d v="2023-01-02T00:00:00"/>
    <n v="2023"/>
    <n v="1"/>
    <s v="Jan"/>
    <n v="2"/>
    <s v="Mon"/>
    <d v="2026-06-30T17:52:14"/>
    <n v="15"/>
    <s v="Afternoon"/>
    <n v="2"/>
    <x v="0"/>
    <x v="0"/>
    <n v="34"/>
    <x v="0"/>
    <x v="12"/>
    <s v="Jamaican Coffee River Sm"/>
    <s v="2.45"/>
    <x v="25"/>
    <s v="Weekday"/>
  </r>
  <r>
    <x v="920"/>
    <d v="2023-01-02T00:00:00"/>
    <n v="2023"/>
    <n v="1"/>
    <s v="Jan"/>
    <n v="2"/>
    <s v="Mon"/>
    <d v="2026-06-30T17:52:58"/>
    <n v="15"/>
    <s v="Afternoon"/>
    <n v="1"/>
    <x v="1"/>
    <x v="1"/>
    <n v="56"/>
    <x v="1"/>
    <x v="1"/>
    <s v="Spicy Eye Opener Chai Rg"/>
    <s v="2.55"/>
    <x v="8"/>
    <s v="Weekday"/>
  </r>
  <r>
    <x v="921"/>
    <d v="2023-01-02T00:00:00"/>
    <n v="2023"/>
    <n v="1"/>
    <s v="Jan"/>
    <n v="2"/>
    <s v="Mon"/>
    <d v="2026-06-30T17:54:43"/>
    <n v="15"/>
    <s v="Afternoon"/>
    <n v="2"/>
    <x v="1"/>
    <x v="1"/>
    <n v="28"/>
    <x v="0"/>
    <x v="0"/>
    <s v="Columbian Medium Roast Sm"/>
    <s v="2"/>
    <x v="5"/>
    <s v="Weekday"/>
  </r>
  <r>
    <x v="922"/>
    <d v="2023-01-02T00:00:00"/>
    <n v="2023"/>
    <n v="1"/>
    <s v="Jan"/>
    <n v="2"/>
    <s v="Mon"/>
    <d v="2026-06-30T17:55:19"/>
    <n v="15"/>
    <s v="Afternoon"/>
    <n v="1"/>
    <x v="0"/>
    <x v="0"/>
    <n v="55"/>
    <x v="1"/>
    <x v="1"/>
    <s v="Morning Sunrise Chai Lg"/>
    <s v="4"/>
    <x v="5"/>
    <s v="Weekday"/>
  </r>
  <r>
    <x v="923"/>
    <d v="2023-01-02T00:00:00"/>
    <n v="2023"/>
    <n v="1"/>
    <s v="Jan"/>
    <n v="2"/>
    <s v="Mon"/>
    <d v="2026-06-30T17:55:19"/>
    <n v="15"/>
    <s v="Afternoon"/>
    <n v="1"/>
    <x v="0"/>
    <x v="0"/>
    <n v="79"/>
    <x v="3"/>
    <x v="4"/>
    <s v="Jumbo Savory Scone"/>
    <s v="3.75"/>
    <x v="10"/>
    <s v="Weekday"/>
  </r>
  <r>
    <x v="924"/>
    <d v="2023-01-02T00:00:00"/>
    <n v="2023"/>
    <n v="1"/>
    <s v="Jan"/>
    <n v="2"/>
    <s v="Mon"/>
    <d v="2026-06-30T17:55:27"/>
    <n v="15"/>
    <s v="Afternoon"/>
    <n v="2"/>
    <x v="0"/>
    <x v="0"/>
    <n v="56"/>
    <x v="1"/>
    <x v="1"/>
    <s v="Spicy Eye Opener Chai Rg"/>
    <s v="2.55"/>
    <x v="13"/>
    <s v="Weekday"/>
  </r>
  <r>
    <x v="925"/>
    <d v="2023-01-02T00:00:00"/>
    <n v="2023"/>
    <n v="1"/>
    <s v="Jan"/>
    <n v="2"/>
    <s v="Mon"/>
    <d v="2026-06-30T17:56:41"/>
    <n v="15"/>
    <s v="Afternoon"/>
    <n v="1"/>
    <x v="1"/>
    <x v="1"/>
    <n v="48"/>
    <x v="1"/>
    <x v="6"/>
    <s v="English Breakfast Rg"/>
    <s v="2.5"/>
    <x v="11"/>
    <s v="Weekday"/>
  </r>
  <r>
    <x v="926"/>
    <d v="2023-01-02T00:00:00"/>
    <n v="2023"/>
    <n v="1"/>
    <s v="Jan"/>
    <n v="2"/>
    <s v="Mon"/>
    <d v="2026-06-30T17:58:07"/>
    <n v="15"/>
    <s v="Afternoon"/>
    <n v="2"/>
    <x v="0"/>
    <x v="0"/>
    <n v="29"/>
    <x v="0"/>
    <x v="0"/>
    <s v="Columbian Medium Roast Rg"/>
    <s v="2.5"/>
    <x v="17"/>
    <s v="Weekday"/>
  </r>
  <r>
    <x v="927"/>
    <d v="2023-01-02T00:00:00"/>
    <n v="2023"/>
    <n v="1"/>
    <s v="Jan"/>
    <n v="2"/>
    <s v="Mon"/>
    <d v="2026-06-30T17:59:37"/>
    <n v="15"/>
    <s v="Afternoon"/>
    <n v="1"/>
    <x v="2"/>
    <x v="2"/>
    <n v="58"/>
    <x v="2"/>
    <x v="2"/>
    <s v="Dark chocolate Rg"/>
    <s v="3.5"/>
    <x v="15"/>
    <s v="Weekday"/>
  </r>
  <r>
    <x v="928"/>
    <d v="2023-01-02T00:00:00"/>
    <n v="2023"/>
    <n v="1"/>
    <s v="Jan"/>
    <n v="2"/>
    <s v="Mon"/>
    <d v="2026-06-30T17:59:53"/>
    <n v="15"/>
    <s v="Afternoon"/>
    <n v="2"/>
    <x v="2"/>
    <x v="2"/>
    <n v="43"/>
    <x v="1"/>
    <x v="8"/>
    <s v="Lemon Grass Lg"/>
    <s v="3"/>
    <x v="0"/>
    <s v="Weekday"/>
  </r>
  <r>
    <x v="929"/>
    <d v="2023-01-02T00:00:00"/>
    <n v="2023"/>
    <n v="1"/>
    <s v="Jan"/>
    <n v="2"/>
    <s v="Mon"/>
    <d v="2026-06-30T18:00:33"/>
    <n v="16"/>
    <s v="Afternoon"/>
    <n v="2"/>
    <x v="2"/>
    <x v="2"/>
    <n v="51"/>
    <x v="1"/>
    <x v="6"/>
    <s v="Earl Grey Lg"/>
    <s v="3"/>
    <x v="0"/>
    <s v="Weekday"/>
  </r>
  <r>
    <x v="930"/>
    <d v="2023-01-02T00:00:00"/>
    <n v="2023"/>
    <n v="1"/>
    <s v="Jan"/>
    <n v="2"/>
    <s v="Mon"/>
    <d v="2026-06-30T18:00:33"/>
    <n v="16"/>
    <s v="Afternoon"/>
    <n v="1"/>
    <x v="2"/>
    <x v="2"/>
    <n v="78"/>
    <x v="3"/>
    <x v="4"/>
    <s v="Scottish Cream Scone "/>
    <s v="4.5"/>
    <x v="18"/>
    <s v="Weekday"/>
  </r>
  <r>
    <x v="931"/>
    <d v="2023-01-02T00:00:00"/>
    <n v="2023"/>
    <n v="1"/>
    <s v="Jan"/>
    <n v="2"/>
    <s v="Mon"/>
    <d v="2026-06-30T18:02:09"/>
    <n v="16"/>
    <s v="Afternoon"/>
    <n v="1"/>
    <x v="0"/>
    <x v="0"/>
    <n v="40"/>
    <x v="0"/>
    <x v="5"/>
    <s v="Cappuccino"/>
    <s v="3.75"/>
    <x v="10"/>
    <s v="Weekday"/>
  </r>
  <r>
    <x v="932"/>
    <d v="2023-01-02T00:00:00"/>
    <n v="2023"/>
    <n v="1"/>
    <s v="Jan"/>
    <n v="2"/>
    <s v="Mon"/>
    <d v="2026-06-30T18:02:21"/>
    <n v="16"/>
    <s v="Afternoon"/>
    <n v="1"/>
    <x v="0"/>
    <x v="0"/>
    <n v="44"/>
    <x v="1"/>
    <x v="8"/>
    <s v="Peppermint Rg"/>
    <s v="2.5"/>
    <x v="11"/>
    <s v="Weekday"/>
  </r>
  <r>
    <x v="933"/>
    <d v="2023-01-02T00:00:00"/>
    <n v="2023"/>
    <n v="1"/>
    <s v="Jan"/>
    <n v="2"/>
    <s v="Mon"/>
    <d v="2026-06-30T18:05:18"/>
    <n v="16"/>
    <s v="Afternoon"/>
    <n v="1"/>
    <x v="0"/>
    <x v="0"/>
    <n v="52"/>
    <x v="1"/>
    <x v="1"/>
    <s v="Traditional Blend Chai Rg"/>
    <s v="2.5"/>
    <x v="11"/>
    <s v="Weekday"/>
  </r>
  <r>
    <x v="934"/>
    <d v="2023-01-02T00:00:00"/>
    <n v="2023"/>
    <n v="1"/>
    <s v="Jan"/>
    <n v="2"/>
    <s v="Mon"/>
    <d v="2026-06-30T18:06:01"/>
    <n v="16"/>
    <s v="Afternoon"/>
    <n v="2"/>
    <x v="0"/>
    <x v="0"/>
    <n v="34"/>
    <x v="0"/>
    <x v="12"/>
    <s v="Jamaican Coffee River Sm"/>
    <s v="2.45"/>
    <x v="25"/>
    <s v="Weekday"/>
  </r>
  <r>
    <x v="935"/>
    <d v="2023-01-02T00:00:00"/>
    <n v="2023"/>
    <n v="1"/>
    <s v="Jan"/>
    <n v="2"/>
    <s v="Mon"/>
    <d v="2026-06-30T18:06:18"/>
    <n v="16"/>
    <s v="Afternoon"/>
    <n v="1"/>
    <x v="2"/>
    <x v="2"/>
    <n v="39"/>
    <x v="0"/>
    <x v="5"/>
    <s v="Latte Rg"/>
    <s v="4.25"/>
    <x v="6"/>
    <s v="Weekday"/>
  </r>
  <r>
    <x v="936"/>
    <d v="2023-01-02T00:00:00"/>
    <n v="2023"/>
    <n v="1"/>
    <s v="Jan"/>
    <n v="2"/>
    <s v="Mon"/>
    <d v="2026-06-30T18:08:22"/>
    <n v="16"/>
    <s v="Afternoon"/>
    <n v="1"/>
    <x v="0"/>
    <x v="0"/>
    <n v="54"/>
    <x v="1"/>
    <x v="1"/>
    <s v="Morning Sunrise Chai Rg"/>
    <s v="2.5"/>
    <x v="11"/>
    <s v="Weekday"/>
  </r>
  <r>
    <x v="937"/>
    <d v="2023-01-02T00:00:00"/>
    <n v="2023"/>
    <n v="1"/>
    <s v="Jan"/>
    <n v="2"/>
    <s v="Mon"/>
    <d v="2026-06-30T18:09:17"/>
    <n v="16"/>
    <s v="Afternoon"/>
    <n v="1"/>
    <x v="2"/>
    <x v="2"/>
    <n v="39"/>
    <x v="0"/>
    <x v="5"/>
    <s v="Latte Rg"/>
    <s v="4.25"/>
    <x v="6"/>
    <s v="Weekday"/>
  </r>
  <r>
    <x v="938"/>
    <d v="2023-01-02T00:00:00"/>
    <n v="2023"/>
    <n v="1"/>
    <s v="Jan"/>
    <n v="2"/>
    <s v="Mon"/>
    <d v="2026-06-30T18:09:45"/>
    <n v="16"/>
    <s v="Afternoon"/>
    <n v="2"/>
    <x v="2"/>
    <x v="2"/>
    <n v="45"/>
    <x v="1"/>
    <x v="8"/>
    <s v="Peppermint Lg"/>
    <s v="3"/>
    <x v="0"/>
    <s v="Weekday"/>
  </r>
  <r>
    <x v="939"/>
    <d v="2023-01-02T00:00:00"/>
    <n v="2023"/>
    <n v="1"/>
    <s v="Jan"/>
    <n v="2"/>
    <s v="Mon"/>
    <d v="2026-06-30T18:11:04"/>
    <n v="16"/>
    <s v="Afternoon"/>
    <n v="1"/>
    <x v="2"/>
    <x v="2"/>
    <n v="40"/>
    <x v="0"/>
    <x v="5"/>
    <s v="Cappuccino"/>
    <s v="3.75"/>
    <x v="10"/>
    <s v="Weekday"/>
  </r>
  <r>
    <x v="940"/>
    <d v="2023-01-02T00:00:00"/>
    <n v="2023"/>
    <n v="1"/>
    <s v="Jan"/>
    <n v="2"/>
    <s v="Mon"/>
    <d v="2026-06-30T18:11:57"/>
    <n v="16"/>
    <s v="Afternoon"/>
    <n v="2"/>
    <x v="1"/>
    <x v="1"/>
    <n v="26"/>
    <x v="0"/>
    <x v="11"/>
    <s v="Brazilian Rg"/>
    <s v="3"/>
    <x v="0"/>
    <s v="Weekday"/>
  </r>
  <r>
    <x v="941"/>
    <d v="2023-01-02T00:00:00"/>
    <n v="2023"/>
    <n v="1"/>
    <s v="Jan"/>
    <n v="2"/>
    <s v="Mon"/>
    <d v="2026-06-30T18:12:01"/>
    <n v="16"/>
    <s v="Afternoon"/>
    <n v="2"/>
    <x v="1"/>
    <x v="1"/>
    <n v="47"/>
    <x v="1"/>
    <x v="7"/>
    <s v="Serenity Green Tea Lg"/>
    <s v="3"/>
    <x v="0"/>
    <s v="Weekday"/>
  </r>
  <r>
    <x v="942"/>
    <d v="2023-01-02T00:00:00"/>
    <n v="2023"/>
    <n v="1"/>
    <s v="Jan"/>
    <n v="2"/>
    <s v="Mon"/>
    <d v="2026-06-30T18:14:09"/>
    <n v="16"/>
    <s v="Afternoon"/>
    <n v="1"/>
    <x v="0"/>
    <x v="0"/>
    <n v="30"/>
    <x v="0"/>
    <x v="0"/>
    <s v="Columbian Medium Roast Lg"/>
    <s v="3"/>
    <x v="4"/>
    <s v="Weekday"/>
  </r>
  <r>
    <x v="943"/>
    <d v="2023-01-02T00:00:00"/>
    <n v="2023"/>
    <n v="1"/>
    <s v="Jan"/>
    <n v="2"/>
    <s v="Mon"/>
    <d v="2026-06-30T18:14:09"/>
    <n v="16"/>
    <s v="Afternoon"/>
    <n v="1"/>
    <x v="0"/>
    <x v="0"/>
    <n v="78"/>
    <x v="3"/>
    <x v="4"/>
    <s v="Scottish Cream Scone "/>
    <s v="4.5"/>
    <x v="18"/>
    <s v="Weekday"/>
  </r>
  <r>
    <x v="944"/>
    <d v="2023-01-02T00:00:00"/>
    <n v="2023"/>
    <n v="1"/>
    <s v="Jan"/>
    <n v="2"/>
    <s v="Mon"/>
    <d v="2026-06-30T18:18:15"/>
    <n v="16"/>
    <s v="Afternoon"/>
    <n v="2"/>
    <x v="2"/>
    <x v="2"/>
    <n v="53"/>
    <x v="1"/>
    <x v="1"/>
    <s v="Traditional Blend Chai Lg"/>
    <s v="3"/>
    <x v="0"/>
    <s v="Weekday"/>
  </r>
  <r>
    <x v="945"/>
    <d v="2023-01-02T00:00:00"/>
    <n v="2023"/>
    <n v="1"/>
    <s v="Jan"/>
    <n v="2"/>
    <s v="Mon"/>
    <d v="2026-06-30T18:19:33"/>
    <n v="16"/>
    <s v="Afternoon"/>
    <n v="1"/>
    <x v="2"/>
    <x v="2"/>
    <n v="38"/>
    <x v="0"/>
    <x v="5"/>
    <s v="Latte"/>
    <s v="3.75"/>
    <x v="10"/>
    <s v="Weekday"/>
  </r>
  <r>
    <x v="946"/>
    <d v="2023-01-02T00:00:00"/>
    <n v="2023"/>
    <n v="1"/>
    <s v="Jan"/>
    <n v="2"/>
    <s v="Mon"/>
    <d v="2026-06-30T18:19:48"/>
    <n v="16"/>
    <s v="Afternoon"/>
    <n v="2"/>
    <x v="0"/>
    <x v="0"/>
    <n v="60"/>
    <x v="2"/>
    <x v="2"/>
    <s v="Sustainably Grown Organic Rg"/>
    <s v="3.75"/>
    <x v="16"/>
    <s v="Weekday"/>
  </r>
  <r>
    <x v="947"/>
    <d v="2023-01-02T00:00:00"/>
    <n v="2023"/>
    <n v="1"/>
    <s v="Jan"/>
    <n v="2"/>
    <s v="Mon"/>
    <d v="2026-06-30T18:19:48"/>
    <n v="16"/>
    <s v="Afternoon"/>
    <n v="1"/>
    <x v="0"/>
    <x v="0"/>
    <n v="78"/>
    <x v="3"/>
    <x v="4"/>
    <s v="Scottish Cream Scone "/>
    <s v="4.5"/>
    <x v="18"/>
    <s v="Weekday"/>
  </r>
  <r>
    <x v="948"/>
    <d v="2023-01-02T00:00:00"/>
    <n v="2023"/>
    <n v="1"/>
    <s v="Jan"/>
    <n v="2"/>
    <s v="Mon"/>
    <d v="2026-06-30T18:22:25"/>
    <n v="16"/>
    <s v="Afternoon"/>
    <n v="1"/>
    <x v="2"/>
    <x v="2"/>
    <n v="48"/>
    <x v="1"/>
    <x v="6"/>
    <s v="English Breakfast Rg"/>
    <s v="2.5"/>
    <x v="11"/>
    <s v="Weekday"/>
  </r>
  <r>
    <x v="949"/>
    <d v="2023-01-02T00:00:00"/>
    <n v="2023"/>
    <n v="1"/>
    <s v="Jan"/>
    <n v="2"/>
    <s v="Mon"/>
    <d v="2026-06-30T18:22:30"/>
    <n v="16"/>
    <s v="Afternoon"/>
    <n v="2"/>
    <x v="2"/>
    <x v="2"/>
    <n v="27"/>
    <x v="0"/>
    <x v="11"/>
    <s v="Brazilian Lg"/>
    <s v="3.5"/>
    <x v="7"/>
    <s v="Weekday"/>
  </r>
  <r>
    <x v="950"/>
    <d v="2023-01-02T00:00:00"/>
    <n v="2023"/>
    <n v="1"/>
    <s v="Jan"/>
    <n v="2"/>
    <s v="Mon"/>
    <d v="2026-06-30T18:23:50"/>
    <n v="16"/>
    <s v="Afternoon"/>
    <n v="1"/>
    <x v="0"/>
    <x v="0"/>
    <n v="26"/>
    <x v="0"/>
    <x v="11"/>
    <s v="Brazilian Rg"/>
    <s v="3"/>
    <x v="4"/>
    <s v="Weekday"/>
  </r>
  <r>
    <x v="951"/>
    <d v="2023-01-02T00:00:00"/>
    <n v="2023"/>
    <n v="1"/>
    <s v="Jan"/>
    <n v="2"/>
    <s v="Mon"/>
    <d v="2026-06-30T18:26:14"/>
    <n v="16"/>
    <s v="Afternoon"/>
    <n v="1"/>
    <x v="2"/>
    <x v="2"/>
    <n v="55"/>
    <x v="1"/>
    <x v="1"/>
    <s v="Morning Sunrise Chai Lg"/>
    <s v="4"/>
    <x v="5"/>
    <s v="Weekday"/>
  </r>
  <r>
    <x v="952"/>
    <d v="2023-01-02T00:00:00"/>
    <n v="2023"/>
    <n v="1"/>
    <s v="Jan"/>
    <n v="2"/>
    <s v="Mon"/>
    <d v="2026-06-30T18:26:38"/>
    <n v="16"/>
    <s v="Afternoon"/>
    <n v="1"/>
    <x v="2"/>
    <x v="2"/>
    <n v="25"/>
    <x v="0"/>
    <x v="11"/>
    <s v="Brazilian Sm"/>
    <s v="2.2"/>
    <x v="23"/>
    <s v="Weekday"/>
  </r>
  <r>
    <x v="953"/>
    <d v="2023-01-02T00:00:00"/>
    <n v="2023"/>
    <n v="1"/>
    <s v="Jan"/>
    <n v="2"/>
    <s v="Mon"/>
    <d v="2026-06-30T18:26:38"/>
    <n v="16"/>
    <s v="Afternoon"/>
    <n v="1"/>
    <x v="2"/>
    <x v="2"/>
    <n v="73"/>
    <x v="3"/>
    <x v="10"/>
    <s v="Almond Croissant"/>
    <s v="3.75"/>
    <x v="10"/>
    <s v="Weekday"/>
  </r>
  <r>
    <x v="954"/>
    <d v="2023-01-02T00:00:00"/>
    <n v="2023"/>
    <n v="1"/>
    <s v="Jan"/>
    <n v="2"/>
    <s v="Mon"/>
    <d v="2026-06-30T18:26:49"/>
    <n v="16"/>
    <s v="Afternoon"/>
    <n v="1"/>
    <x v="1"/>
    <x v="1"/>
    <n v="54"/>
    <x v="1"/>
    <x v="1"/>
    <s v="Morning Sunrise Chai Rg"/>
    <s v="2.5"/>
    <x v="11"/>
    <s v="Weekday"/>
  </r>
  <r>
    <x v="955"/>
    <d v="2023-01-02T00:00:00"/>
    <n v="2023"/>
    <n v="1"/>
    <s v="Jan"/>
    <n v="2"/>
    <s v="Mon"/>
    <d v="2026-06-30T18:28:26"/>
    <n v="16"/>
    <s v="Afternoon"/>
    <n v="1"/>
    <x v="1"/>
    <x v="1"/>
    <n v="36"/>
    <x v="0"/>
    <x v="12"/>
    <s v="Jamaican Coffee River Lg"/>
    <s v="3.75"/>
    <x v="10"/>
    <s v="Weekday"/>
  </r>
  <r>
    <x v="956"/>
    <d v="2023-01-02T00:00:00"/>
    <n v="2023"/>
    <n v="1"/>
    <s v="Jan"/>
    <n v="2"/>
    <s v="Mon"/>
    <d v="2026-06-30T18:30:05"/>
    <n v="16"/>
    <s v="Afternoon"/>
    <n v="1"/>
    <x v="0"/>
    <x v="0"/>
    <n v="23"/>
    <x v="0"/>
    <x v="3"/>
    <s v="Our Old Time Diner Blend Rg"/>
    <s v="2.5"/>
    <x v="11"/>
    <s v="Weekday"/>
  </r>
  <r>
    <x v="957"/>
    <d v="2023-01-02T00:00:00"/>
    <n v="2023"/>
    <n v="1"/>
    <s v="Jan"/>
    <n v="2"/>
    <s v="Mon"/>
    <d v="2026-06-30T18:30:07"/>
    <n v="16"/>
    <s v="Afternoon"/>
    <n v="1"/>
    <x v="2"/>
    <x v="2"/>
    <n v="24"/>
    <x v="0"/>
    <x v="3"/>
    <s v="Our Old Time Diner Blend Lg"/>
    <s v="3"/>
    <x v="4"/>
    <s v="Weekday"/>
  </r>
  <r>
    <x v="958"/>
    <d v="2023-01-02T00:00:00"/>
    <n v="2023"/>
    <n v="1"/>
    <s v="Jan"/>
    <n v="2"/>
    <s v="Mon"/>
    <d v="2026-06-30T18:30:07"/>
    <n v="16"/>
    <s v="Afternoon"/>
    <n v="1"/>
    <x v="2"/>
    <x v="2"/>
    <n v="74"/>
    <x v="3"/>
    <x v="9"/>
    <s v="Ginger Biscotti"/>
    <s v="3.5"/>
    <x v="15"/>
    <s v="Weekday"/>
  </r>
  <r>
    <x v="959"/>
    <d v="2023-01-02T00:00:00"/>
    <n v="2023"/>
    <n v="1"/>
    <s v="Jan"/>
    <n v="2"/>
    <s v="Mon"/>
    <d v="2026-06-30T18:30:37"/>
    <n v="16"/>
    <s v="Afternoon"/>
    <n v="2"/>
    <x v="1"/>
    <x v="1"/>
    <n v="53"/>
    <x v="1"/>
    <x v="1"/>
    <s v="Traditional Blend Chai Lg"/>
    <s v="3"/>
    <x v="0"/>
    <s v="Weekday"/>
  </r>
  <r>
    <x v="960"/>
    <d v="2023-01-02T00:00:00"/>
    <n v="2023"/>
    <n v="1"/>
    <s v="Jan"/>
    <n v="2"/>
    <s v="Mon"/>
    <d v="2026-06-30T18:31:20"/>
    <n v="16"/>
    <s v="Afternoon"/>
    <n v="2"/>
    <x v="2"/>
    <x v="2"/>
    <n v="36"/>
    <x v="0"/>
    <x v="12"/>
    <s v="Jamaican Coffee River Lg"/>
    <s v="3.75"/>
    <x v="16"/>
    <s v="Weekday"/>
  </r>
  <r>
    <x v="961"/>
    <d v="2023-01-02T00:00:00"/>
    <n v="2023"/>
    <n v="1"/>
    <s v="Jan"/>
    <n v="2"/>
    <s v="Mon"/>
    <d v="2026-06-30T18:31:48"/>
    <n v="16"/>
    <s v="Afternoon"/>
    <n v="1"/>
    <x v="1"/>
    <x v="1"/>
    <n v="52"/>
    <x v="1"/>
    <x v="1"/>
    <s v="Traditional Blend Chai Rg"/>
    <s v="2.5"/>
    <x v="11"/>
    <s v="Weekday"/>
  </r>
  <r>
    <x v="962"/>
    <d v="2023-01-02T00:00:00"/>
    <n v="2023"/>
    <n v="1"/>
    <s v="Jan"/>
    <n v="2"/>
    <s v="Mon"/>
    <d v="2026-06-30T18:32:14"/>
    <n v="16"/>
    <s v="Afternoon"/>
    <n v="2"/>
    <x v="2"/>
    <x v="2"/>
    <n v="52"/>
    <x v="1"/>
    <x v="1"/>
    <s v="Traditional Blend Chai Rg"/>
    <s v="2.5"/>
    <x v="17"/>
    <s v="Weekday"/>
  </r>
  <r>
    <x v="963"/>
    <d v="2023-01-02T00:00:00"/>
    <n v="2023"/>
    <n v="1"/>
    <s v="Jan"/>
    <n v="2"/>
    <s v="Mon"/>
    <d v="2026-06-30T18:32:25"/>
    <n v="16"/>
    <s v="Afternoon"/>
    <n v="2"/>
    <x v="0"/>
    <x v="0"/>
    <n v="50"/>
    <x v="1"/>
    <x v="6"/>
    <s v="Earl Grey Rg"/>
    <s v="2.5"/>
    <x v="17"/>
    <s v="Weekday"/>
  </r>
  <r>
    <x v="964"/>
    <d v="2023-01-02T00:00:00"/>
    <n v="2023"/>
    <n v="1"/>
    <s v="Jan"/>
    <n v="2"/>
    <s v="Mon"/>
    <d v="2026-06-30T18:33:17"/>
    <n v="16"/>
    <s v="Afternoon"/>
    <n v="1"/>
    <x v="0"/>
    <x v="0"/>
    <n v="57"/>
    <x v="1"/>
    <x v="1"/>
    <s v="Spicy Eye Opener Chai Lg"/>
    <s v="3.1"/>
    <x v="9"/>
    <s v="Weekday"/>
  </r>
  <r>
    <x v="965"/>
    <d v="2023-01-02T00:00:00"/>
    <n v="2023"/>
    <n v="1"/>
    <s v="Jan"/>
    <n v="2"/>
    <s v="Mon"/>
    <d v="2026-06-30T18:33:17"/>
    <n v="16"/>
    <s v="Afternoon"/>
    <n v="1"/>
    <x v="0"/>
    <x v="0"/>
    <n v="75"/>
    <x v="3"/>
    <x v="10"/>
    <s v="Croissant"/>
    <s v="3.5"/>
    <x v="15"/>
    <s v="Weekday"/>
  </r>
  <r>
    <x v="966"/>
    <d v="2023-01-02T00:00:00"/>
    <n v="2023"/>
    <n v="1"/>
    <s v="Jan"/>
    <n v="2"/>
    <s v="Mon"/>
    <d v="2026-06-30T18:34:50"/>
    <n v="16"/>
    <s v="Afternoon"/>
    <n v="1"/>
    <x v="0"/>
    <x v="0"/>
    <n v="50"/>
    <x v="1"/>
    <x v="6"/>
    <s v="Earl Grey Rg"/>
    <s v="2.5"/>
    <x v="11"/>
    <s v="Weekday"/>
  </r>
  <r>
    <x v="967"/>
    <d v="2023-01-02T00:00:00"/>
    <n v="2023"/>
    <n v="1"/>
    <s v="Jan"/>
    <n v="2"/>
    <s v="Mon"/>
    <d v="2026-06-30T18:35:22"/>
    <n v="16"/>
    <s v="Afternoon"/>
    <n v="1"/>
    <x v="2"/>
    <x v="2"/>
    <n v="31"/>
    <x v="0"/>
    <x v="0"/>
    <s v="Ethiopia Sm"/>
    <s v="2.2"/>
    <x v="23"/>
    <s v="Weekday"/>
  </r>
  <r>
    <x v="968"/>
    <d v="2023-01-02T00:00:00"/>
    <n v="2023"/>
    <n v="1"/>
    <s v="Jan"/>
    <n v="2"/>
    <s v="Mon"/>
    <d v="2026-06-30T18:35:22"/>
    <n v="16"/>
    <s v="Afternoon"/>
    <n v="2"/>
    <x v="2"/>
    <x v="2"/>
    <n v="54"/>
    <x v="1"/>
    <x v="1"/>
    <s v="Morning Sunrise Chai Rg"/>
    <s v="2.5"/>
    <x v="17"/>
    <s v="Weekday"/>
  </r>
  <r>
    <x v="969"/>
    <d v="2023-01-02T00:00:00"/>
    <n v="2023"/>
    <n v="1"/>
    <s v="Jan"/>
    <n v="2"/>
    <s v="Mon"/>
    <d v="2026-06-30T18:35:54"/>
    <n v="16"/>
    <s v="Afternoon"/>
    <n v="2"/>
    <x v="1"/>
    <x v="1"/>
    <n v="49"/>
    <x v="1"/>
    <x v="6"/>
    <s v="English Breakfast Lg"/>
    <s v="3"/>
    <x v="0"/>
    <s v="Weekday"/>
  </r>
  <r>
    <x v="970"/>
    <d v="2023-01-02T00:00:00"/>
    <n v="2023"/>
    <n v="1"/>
    <s v="Jan"/>
    <n v="2"/>
    <s v="Mon"/>
    <d v="2026-06-30T18:36:38"/>
    <n v="16"/>
    <s v="Afternoon"/>
    <n v="1"/>
    <x v="2"/>
    <x v="2"/>
    <n v="32"/>
    <x v="0"/>
    <x v="0"/>
    <s v="Ethiopia Rg"/>
    <s v="3"/>
    <x v="4"/>
    <s v="Weekday"/>
  </r>
  <r>
    <x v="971"/>
    <d v="2023-01-02T00:00:00"/>
    <n v="2023"/>
    <n v="1"/>
    <s v="Jan"/>
    <n v="2"/>
    <s v="Mon"/>
    <d v="2026-06-30T18:41:26"/>
    <n v="16"/>
    <s v="Afternoon"/>
    <n v="2"/>
    <x v="0"/>
    <x v="0"/>
    <n v="22"/>
    <x v="0"/>
    <x v="3"/>
    <s v="Our Old Time Diner Blend Sm"/>
    <s v="2"/>
    <x v="5"/>
    <s v="Weekday"/>
  </r>
  <r>
    <x v="972"/>
    <d v="2023-01-02T00:00:00"/>
    <n v="2023"/>
    <n v="1"/>
    <s v="Jan"/>
    <n v="2"/>
    <s v="Mon"/>
    <d v="2026-06-30T18:42:11"/>
    <n v="16"/>
    <s v="Afternoon"/>
    <n v="2"/>
    <x v="2"/>
    <x v="2"/>
    <n v="51"/>
    <x v="1"/>
    <x v="6"/>
    <s v="Earl Grey Lg"/>
    <s v="3"/>
    <x v="0"/>
    <s v="Weekday"/>
  </r>
  <r>
    <x v="973"/>
    <d v="2023-01-02T00:00:00"/>
    <n v="2023"/>
    <n v="1"/>
    <s v="Jan"/>
    <n v="2"/>
    <s v="Mon"/>
    <d v="2026-06-30T18:42:33"/>
    <n v="16"/>
    <s v="Afternoon"/>
    <n v="1"/>
    <x v="0"/>
    <x v="0"/>
    <n v="34"/>
    <x v="0"/>
    <x v="12"/>
    <s v="Jamaican Coffee River Sm"/>
    <s v="2.45"/>
    <x v="20"/>
    <s v="Weekday"/>
  </r>
  <r>
    <x v="974"/>
    <d v="2023-01-02T00:00:00"/>
    <n v="2023"/>
    <n v="1"/>
    <s v="Jan"/>
    <n v="2"/>
    <s v="Mon"/>
    <d v="2026-06-30T18:42:33"/>
    <n v="16"/>
    <s v="Afternoon"/>
    <n v="1"/>
    <x v="0"/>
    <x v="0"/>
    <n v="77"/>
    <x v="3"/>
    <x v="4"/>
    <s v="Oatmeal Scone"/>
    <s v="3"/>
    <x v="4"/>
    <s v="Weekday"/>
  </r>
  <r>
    <x v="975"/>
    <d v="2023-01-02T00:00:00"/>
    <n v="2023"/>
    <n v="1"/>
    <s v="Jan"/>
    <n v="2"/>
    <s v="Mon"/>
    <d v="2026-06-30T18:43:04"/>
    <n v="16"/>
    <s v="Afternoon"/>
    <n v="2"/>
    <x v="2"/>
    <x v="2"/>
    <n v="34"/>
    <x v="0"/>
    <x v="12"/>
    <s v="Jamaican Coffee River Sm"/>
    <s v="2.45"/>
    <x v="25"/>
    <s v="Weekday"/>
  </r>
  <r>
    <x v="976"/>
    <d v="2023-01-02T00:00:00"/>
    <n v="2023"/>
    <n v="1"/>
    <s v="Jan"/>
    <n v="2"/>
    <s v="Mon"/>
    <d v="2026-06-30T18:44:55"/>
    <n v="16"/>
    <s v="Afternoon"/>
    <n v="2"/>
    <x v="0"/>
    <x v="0"/>
    <n v="32"/>
    <x v="0"/>
    <x v="0"/>
    <s v="Ethiopia Rg"/>
    <s v="3"/>
    <x v="0"/>
    <s v="Weekday"/>
  </r>
  <r>
    <x v="977"/>
    <d v="2023-01-02T00:00:00"/>
    <n v="2023"/>
    <n v="1"/>
    <s v="Jan"/>
    <n v="2"/>
    <s v="Mon"/>
    <d v="2026-06-30T18:47:01"/>
    <n v="16"/>
    <s v="Afternoon"/>
    <n v="1"/>
    <x v="2"/>
    <x v="2"/>
    <n v="48"/>
    <x v="1"/>
    <x v="6"/>
    <s v="English Breakfast Rg"/>
    <s v="2.5"/>
    <x v="11"/>
    <s v="Weekday"/>
  </r>
  <r>
    <x v="978"/>
    <d v="2023-01-02T00:00:00"/>
    <n v="2023"/>
    <n v="1"/>
    <s v="Jan"/>
    <n v="2"/>
    <s v="Mon"/>
    <d v="2026-06-30T18:49:41"/>
    <n v="16"/>
    <s v="Afternoon"/>
    <n v="1"/>
    <x v="2"/>
    <x v="2"/>
    <n v="49"/>
    <x v="1"/>
    <x v="6"/>
    <s v="English Breakfast Lg"/>
    <s v="3"/>
    <x v="4"/>
    <s v="Weekday"/>
  </r>
  <r>
    <x v="979"/>
    <d v="2023-01-02T00:00:00"/>
    <n v="2023"/>
    <n v="1"/>
    <s v="Jan"/>
    <n v="2"/>
    <s v="Mon"/>
    <d v="2026-06-30T18:50:14"/>
    <n v="16"/>
    <s v="Afternoon"/>
    <n v="1"/>
    <x v="1"/>
    <x v="1"/>
    <n v="25"/>
    <x v="0"/>
    <x v="11"/>
    <s v="Brazilian Sm"/>
    <s v="2.2"/>
    <x v="23"/>
    <s v="Weekday"/>
  </r>
  <r>
    <x v="980"/>
    <d v="2023-01-02T00:00:00"/>
    <n v="2023"/>
    <n v="1"/>
    <s v="Jan"/>
    <n v="2"/>
    <s v="Mon"/>
    <d v="2026-06-30T18:51:09"/>
    <n v="16"/>
    <s v="Afternoon"/>
    <n v="2"/>
    <x v="2"/>
    <x v="2"/>
    <n v="34"/>
    <x v="0"/>
    <x v="12"/>
    <s v="Jamaican Coffee River Sm"/>
    <s v="2.45"/>
    <x v="25"/>
    <s v="Weekday"/>
  </r>
  <r>
    <x v="981"/>
    <d v="2023-01-02T00:00:00"/>
    <n v="2023"/>
    <n v="1"/>
    <s v="Jan"/>
    <n v="2"/>
    <s v="Mon"/>
    <d v="2026-06-30T18:51:09"/>
    <n v="16"/>
    <s v="Afternoon"/>
    <n v="1"/>
    <x v="2"/>
    <x v="2"/>
    <n v="72"/>
    <x v="3"/>
    <x v="4"/>
    <s v="Ginger Scone"/>
    <s v="3.25"/>
    <x v="14"/>
    <s v="Weekday"/>
  </r>
  <r>
    <x v="982"/>
    <d v="2023-01-02T00:00:00"/>
    <n v="2023"/>
    <n v="1"/>
    <s v="Jan"/>
    <n v="2"/>
    <s v="Mon"/>
    <d v="2026-06-30T18:55:58"/>
    <n v="16"/>
    <s v="Afternoon"/>
    <n v="2"/>
    <x v="2"/>
    <x v="2"/>
    <n v="24"/>
    <x v="0"/>
    <x v="3"/>
    <s v="Our Old Time Diner Blend Lg"/>
    <s v="3"/>
    <x v="0"/>
    <s v="Weekday"/>
  </r>
  <r>
    <x v="983"/>
    <d v="2023-01-02T00:00:00"/>
    <n v="2023"/>
    <n v="1"/>
    <s v="Jan"/>
    <n v="2"/>
    <s v="Mon"/>
    <d v="2026-06-30T18:56:14"/>
    <n v="16"/>
    <s v="Afternoon"/>
    <n v="1"/>
    <x v="1"/>
    <x v="1"/>
    <n v="41"/>
    <x v="0"/>
    <x v="5"/>
    <s v="Cappuccino Lg"/>
    <s v="4.25"/>
    <x v="6"/>
    <s v="Weekday"/>
  </r>
  <r>
    <x v="984"/>
    <d v="2023-01-02T00:00:00"/>
    <n v="2023"/>
    <n v="1"/>
    <s v="Jan"/>
    <n v="2"/>
    <s v="Mon"/>
    <d v="2026-06-30T18:59:09"/>
    <n v="16"/>
    <s v="Afternoon"/>
    <n v="1"/>
    <x v="0"/>
    <x v="0"/>
    <n v="23"/>
    <x v="0"/>
    <x v="3"/>
    <s v="Our Old Time Diner Blend Rg"/>
    <s v="2.5"/>
    <x v="11"/>
    <s v="Weekday"/>
  </r>
  <r>
    <x v="985"/>
    <d v="2023-01-02T00:00:00"/>
    <n v="2023"/>
    <n v="1"/>
    <s v="Jan"/>
    <n v="2"/>
    <s v="Mon"/>
    <d v="2026-06-30T19:00:52"/>
    <n v="17"/>
    <s v="Evening"/>
    <n v="1"/>
    <x v="1"/>
    <x v="1"/>
    <n v="25"/>
    <x v="0"/>
    <x v="11"/>
    <s v="Brazilian Sm"/>
    <s v="2.2"/>
    <x v="23"/>
    <s v="Weekday"/>
  </r>
  <r>
    <x v="986"/>
    <d v="2023-01-02T00:00:00"/>
    <n v="2023"/>
    <n v="1"/>
    <s v="Jan"/>
    <n v="2"/>
    <s v="Mon"/>
    <d v="2026-06-30T19:02:06"/>
    <n v="17"/>
    <s v="Evening"/>
    <n v="1"/>
    <x v="1"/>
    <x v="1"/>
    <n v="50"/>
    <x v="1"/>
    <x v="6"/>
    <s v="Earl Grey Rg"/>
    <s v="2.5"/>
    <x v="11"/>
    <s v="Weekday"/>
  </r>
  <r>
    <x v="987"/>
    <d v="2023-01-02T00:00:00"/>
    <n v="2023"/>
    <n v="1"/>
    <s v="Jan"/>
    <n v="2"/>
    <s v="Mon"/>
    <d v="2026-06-30T19:02:59"/>
    <n v="17"/>
    <s v="Evening"/>
    <n v="2"/>
    <x v="0"/>
    <x v="0"/>
    <n v="29"/>
    <x v="0"/>
    <x v="0"/>
    <s v="Columbian Medium Roast Rg"/>
    <s v="2.5"/>
    <x v="17"/>
    <s v="Weekday"/>
  </r>
  <r>
    <x v="988"/>
    <d v="2023-01-02T00:00:00"/>
    <n v="2023"/>
    <n v="1"/>
    <s v="Jan"/>
    <n v="2"/>
    <s v="Mon"/>
    <d v="2026-06-30T19:02:59"/>
    <n v="17"/>
    <s v="Evening"/>
    <n v="1"/>
    <x v="0"/>
    <x v="0"/>
    <n v="77"/>
    <x v="3"/>
    <x v="4"/>
    <s v="Oatmeal Scone"/>
    <s v="3"/>
    <x v="4"/>
    <s v="Weekday"/>
  </r>
  <r>
    <x v="989"/>
    <d v="2023-01-02T00:00:00"/>
    <n v="2023"/>
    <n v="1"/>
    <s v="Jan"/>
    <n v="2"/>
    <s v="Mon"/>
    <d v="2026-06-30T19:04:56"/>
    <n v="17"/>
    <s v="Evening"/>
    <n v="1"/>
    <x v="2"/>
    <x v="2"/>
    <n v="60"/>
    <x v="2"/>
    <x v="2"/>
    <s v="Sustainably Grown Organic Rg"/>
    <s v="3.75"/>
    <x v="10"/>
    <s v="Weekday"/>
  </r>
  <r>
    <x v="990"/>
    <d v="2023-01-02T00:00:00"/>
    <n v="2023"/>
    <n v="1"/>
    <s v="Jan"/>
    <n v="2"/>
    <s v="Mon"/>
    <d v="2026-06-30T19:10:24"/>
    <n v="17"/>
    <s v="Evening"/>
    <n v="2"/>
    <x v="1"/>
    <x v="1"/>
    <n v="55"/>
    <x v="1"/>
    <x v="1"/>
    <s v="Morning Sunrise Chai Lg"/>
    <s v="4"/>
    <x v="24"/>
    <s v="Weekday"/>
  </r>
  <r>
    <x v="991"/>
    <d v="2023-01-02T00:00:00"/>
    <n v="2023"/>
    <n v="1"/>
    <s v="Jan"/>
    <n v="2"/>
    <s v="Mon"/>
    <d v="2026-06-30T19:10:36"/>
    <n v="17"/>
    <s v="Evening"/>
    <n v="1"/>
    <x v="1"/>
    <x v="1"/>
    <n v="33"/>
    <x v="0"/>
    <x v="0"/>
    <s v="Ethiopia Lg"/>
    <s v="3.5"/>
    <x v="15"/>
    <s v="Weekday"/>
  </r>
  <r>
    <x v="992"/>
    <d v="2023-01-02T00:00:00"/>
    <n v="2023"/>
    <n v="1"/>
    <s v="Jan"/>
    <n v="2"/>
    <s v="Mon"/>
    <d v="2026-06-30T19:12:45"/>
    <n v="17"/>
    <s v="Evening"/>
    <n v="2"/>
    <x v="2"/>
    <x v="2"/>
    <n v="42"/>
    <x v="1"/>
    <x v="8"/>
    <s v="Lemon Grass Rg"/>
    <s v="2.5"/>
    <x v="17"/>
    <s v="Weekday"/>
  </r>
  <r>
    <x v="993"/>
    <d v="2023-01-02T00:00:00"/>
    <n v="2023"/>
    <n v="1"/>
    <s v="Jan"/>
    <n v="2"/>
    <s v="Mon"/>
    <d v="2026-06-30T19:13:53"/>
    <n v="17"/>
    <s v="Evening"/>
    <n v="1"/>
    <x v="1"/>
    <x v="1"/>
    <n v="43"/>
    <x v="1"/>
    <x v="8"/>
    <s v="Lemon Grass Lg"/>
    <s v="3"/>
    <x v="4"/>
    <s v="Weekday"/>
  </r>
  <r>
    <x v="994"/>
    <d v="2023-01-02T00:00:00"/>
    <n v="2023"/>
    <n v="1"/>
    <s v="Jan"/>
    <n v="2"/>
    <s v="Mon"/>
    <d v="2026-06-30T19:15:28"/>
    <n v="17"/>
    <s v="Evening"/>
    <n v="2"/>
    <x v="0"/>
    <x v="0"/>
    <n v="27"/>
    <x v="0"/>
    <x v="11"/>
    <s v="Brazilian Lg"/>
    <s v="3.5"/>
    <x v="7"/>
    <s v="Weekday"/>
  </r>
  <r>
    <x v="995"/>
    <d v="2023-01-02T00:00:00"/>
    <n v="2023"/>
    <n v="1"/>
    <s v="Jan"/>
    <n v="2"/>
    <s v="Mon"/>
    <d v="2026-06-30T19:15:35"/>
    <n v="17"/>
    <s v="Evening"/>
    <n v="2"/>
    <x v="0"/>
    <x v="0"/>
    <n v="57"/>
    <x v="1"/>
    <x v="1"/>
    <s v="Spicy Eye Opener Chai Lg"/>
    <s v="3.1"/>
    <x v="1"/>
    <s v="Weekday"/>
  </r>
  <r>
    <x v="996"/>
    <d v="2023-01-02T00:00:00"/>
    <n v="2023"/>
    <n v="1"/>
    <s v="Jan"/>
    <n v="2"/>
    <s v="Mon"/>
    <d v="2026-06-30T19:17:00"/>
    <n v="17"/>
    <s v="Evening"/>
    <n v="2"/>
    <x v="2"/>
    <x v="2"/>
    <n v="53"/>
    <x v="1"/>
    <x v="1"/>
    <s v="Traditional Blend Chai Lg"/>
    <s v="3"/>
    <x v="0"/>
    <s v="Weekday"/>
  </r>
  <r>
    <x v="997"/>
    <d v="2023-01-02T00:00:00"/>
    <n v="2023"/>
    <n v="1"/>
    <s v="Jan"/>
    <n v="2"/>
    <s v="Mon"/>
    <d v="2026-06-30T19:17:00"/>
    <n v="17"/>
    <s v="Evening"/>
    <n v="1"/>
    <x v="2"/>
    <x v="2"/>
    <n v="70"/>
    <x v="3"/>
    <x v="4"/>
    <s v="Cranberry Scone"/>
    <s v="3.25"/>
    <x v="14"/>
    <s v="Weekday"/>
  </r>
  <r>
    <x v="998"/>
    <d v="2023-01-02T00:00:00"/>
    <n v="2023"/>
    <n v="1"/>
    <s v="Jan"/>
    <n v="2"/>
    <s v="Mon"/>
    <d v="2026-06-30T19:18:25"/>
    <n v="17"/>
    <s v="Evening"/>
    <n v="2"/>
    <x v="0"/>
    <x v="0"/>
    <n v="32"/>
    <x v="0"/>
    <x v="0"/>
    <s v="Ethiopia Rg"/>
    <s v="3"/>
    <x v="0"/>
    <s v="Weekday"/>
  </r>
  <r>
    <x v="999"/>
    <d v="2023-01-02T00:00:00"/>
    <n v="2023"/>
    <n v="1"/>
    <s v="Jan"/>
    <n v="2"/>
    <s v="Mon"/>
    <d v="2026-06-30T19:19:03"/>
    <n v="17"/>
    <s v="Evening"/>
    <n v="1"/>
    <x v="1"/>
    <x v="1"/>
    <n v="54"/>
    <x v="1"/>
    <x v="1"/>
    <s v="Morning Sunrise Chai Rg"/>
    <s v="2.5"/>
    <x v="11"/>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23D131-D8D1-4D07-8095-B91A5A27A7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2:B37" firstHeaderRow="1" firstDataRow="1" firstDataCol="1"/>
  <pivotFields count="20">
    <pivotField showAll="0"/>
    <pivotField numFmtId="14" showAll="0"/>
    <pivotField showAll="0"/>
    <pivotField showAll="0"/>
    <pivotField showAll="0"/>
    <pivotField showAll="0"/>
    <pivotField showAll="0"/>
    <pivotField numFmtId="22" showAll="0"/>
    <pivotField showAll="0"/>
    <pivotField showAll="0"/>
    <pivotField showAll="0"/>
    <pivotField showAll="0"/>
    <pivotField showAll="0"/>
    <pivotField dataField="1" showAll="0"/>
    <pivotField axis="axisRow" showAll="0">
      <items count="5">
        <item x="3"/>
        <item x="0"/>
        <item x="2"/>
        <item x="1"/>
        <item t="default"/>
      </items>
    </pivotField>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Count of product_id" fld="13" subtotal="count" baseField="14" baseItem="0"/>
  </dataFields>
  <chartFormats count="3">
    <chartFormat chart="47"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CAA21F-0B72-49FE-99D2-D1318D763B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H3:I17" firstHeaderRow="1" firstDataRow="1" firstDataCol="1"/>
  <pivotFields count="20">
    <pivotField showAll="0"/>
    <pivotField numFmtId="14" showAll="0"/>
    <pivotField showAll="0"/>
    <pivotField showAll="0"/>
    <pivotField showAll="0"/>
    <pivotField showAll="0"/>
    <pivotField showAll="0"/>
    <pivotField numFmtId="22" showAll="0"/>
    <pivotField showAll="0"/>
    <pivotField showAll="0"/>
    <pivotField showAll="0"/>
    <pivotField showAll="0"/>
    <pivotField showAll="0">
      <items count="4">
        <item x="2"/>
        <item x="1"/>
        <item x="0"/>
        <item t="default"/>
      </items>
    </pivotField>
    <pivotField showAll="0"/>
    <pivotField showAll="0"/>
    <pivotField axis="axisRow" showAll="0">
      <items count="14">
        <item x="5"/>
        <item x="9"/>
        <item x="6"/>
        <item x="1"/>
        <item x="7"/>
        <item x="8"/>
        <item x="3"/>
        <item x="0"/>
        <item x="2"/>
        <item x="11"/>
        <item x="10"/>
        <item x="12"/>
        <item x="4"/>
        <item t="default"/>
      </items>
    </pivotField>
    <pivotField showAll="0"/>
    <pivotField showAll="0"/>
    <pivotField dataField="1" showAll="0"/>
    <pivotField showAll="0"/>
  </pivotFields>
  <rowFields count="1">
    <field x="15"/>
  </rowFields>
  <rowItems count="14">
    <i>
      <x/>
    </i>
    <i>
      <x v="1"/>
    </i>
    <i>
      <x v="2"/>
    </i>
    <i>
      <x v="3"/>
    </i>
    <i>
      <x v="4"/>
    </i>
    <i>
      <x v="5"/>
    </i>
    <i>
      <x v="6"/>
    </i>
    <i>
      <x v="7"/>
    </i>
    <i>
      <x v="8"/>
    </i>
    <i>
      <x v="9"/>
    </i>
    <i>
      <x v="10"/>
    </i>
    <i>
      <x v="11"/>
    </i>
    <i>
      <x v="12"/>
    </i>
    <i t="grand">
      <x/>
    </i>
  </rowItems>
  <colItems count="1">
    <i/>
  </colItems>
  <dataFields count="1">
    <dataField name="Count of revenue" fld="18" subtotal="count" baseField="0" baseItem="0"/>
  </dataFields>
  <chartFormats count="6">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37CB88-FD03-4502-968F-84D43A195A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21:B26" firstHeaderRow="1" firstDataRow="1" firstDataCol="1"/>
  <pivotFields count="20">
    <pivotField showAll="0"/>
    <pivotField numFmtId="14" showAll="0"/>
    <pivotField showAll="0"/>
    <pivotField showAll="0"/>
    <pivotField showAll="0"/>
    <pivotField showAll="0"/>
    <pivotField showAll="0"/>
    <pivotField numFmtId="22"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dataField="1" showAll="0"/>
    <pivotField showAll="0"/>
  </pivotFields>
  <rowFields count="1">
    <field x="14"/>
  </rowFields>
  <rowItems count="5">
    <i>
      <x/>
    </i>
    <i>
      <x v="1"/>
    </i>
    <i>
      <x v="2"/>
    </i>
    <i>
      <x v="3"/>
    </i>
    <i t="grand">
      <x/>
    </i>
  </rowItems>
  <colItems count="1">
    <i/>
  </colItems>
  <dataFields count="1">
    <dataField name="Count of revenue" fld="18" subtotal="count" baseField="0" baseItem="0"/>
  </dataFields>
  <chartFormats count="3">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6B527D-23BC-45AB-9FFB-DA6166CEA6D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7">
  <location ref="A11:B15" firstHeaderRow="1" firstDataRow="1" firstDataCol="1"/>
  <pivotFields count="20">
    <pivotField showAll="0"/>
    <pivotField numFmtId="14" showAll="0"/>
    <pivotField showAll="0"/>
    <pivotField showAll="0"/>
    <pivotField showAll="0"/>
    <pivotField showAll="0"/>
    <pivotField showAll="0"/>
    <pivotField numFmtId="22"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dataField="1" showAll="0"/>
    <pivotField showAll="0"/>
  </pivotFields>
  <rowFields count="1">
    <field x="12"/>
  </rowFields>
  <rowItems count="4">
    <i>
      <x/>
    </i>
    <i>
      <x v="1"/>
    </i>
    <i>
      <x v="2"/>
    </i>
    <i t="grand">
      <x/>
    </i>
  </rowItems>
  <colItems count="1">
    <i/>
  </colItems>
  <dataFields count="1">
    <dataField name="Count of revenue" fld="18" subtotal="count" baseField="0" baseItem="0"/>
  </dataFields>
  <chartFormats count="12">
    <chartFormat chart="27" format="0" series="1">
      <pivotArea type="data" outline="0" fieldPosition="0">
        <references count="1">
          <reference field="4294967294" count="1" selected="0">
            <x v="0"/>
          </reference>
        </references>
      </pivotArea>
    </chartFormat>
    <chartFormat chart="27" format="4">
      <pivotArea type="data" outline="0" fieldPosition="0">
        <references count="2">
          <reference field="4294967294" count="1" selected="0">
            <x v="0"/>
          </reference>
          <reference field="12" count="1" selected="0">
            <x v="0"/>
          </reference>
        </references>
      </pivotArea>
    </chartFormat>
    <chartFormat chart="27" format="5">
      <pivotArea type="data" outline="0" fieldPosition="0">
        <references count="2">
          <reference field="4294967294" count="1" selected="0">
            <x v="0"/>
          </reference>
          <reference field="12" count="1" selected="0">
            <x v="1"/>
          </reference>
        </references>
      </pivotArea>
    </chartFormat>
    <chartFormat chart="27" format="6">
      <pivotArea type="data" outline="0" fieldPosition="0">
        <references count="2">
          <reference field="4294967294" count="1" selected="0">
            <x v="0"/>
          </reference>
          <reference field="12" count="1" selected="0">
            <x v="2"/>
          </reference>
        </references>
      </pivotArea>
    </chartFormat>
    <chartFormat chart="34" format="11" series="1">
      <pivotArea type="data" outline="0" fieldPosition="0">
        <references count="1">
          <reference field="4294967294" count="1" selected="0">
            <x v="0"/>
          </reference>
        </references>
      </pivotArea>
    </chartFormat>
    <chartFormat chart="34" format="12">
      <pivotArea type="data" outline="0" fieldPosition="0">
        <references count="2">
          <reference field="4294967294" count="1" selected="0">
            <x v="0"/>
          </reference>
          <reference field="12" count="1" selected="0">
            <x v="0"/>
          </reference>
        </references>
      </pivotArea>
    </chartFormat>
    <chartFormat chart="34" format="13">
      <pivotArea type="data" outline="0" fieldPosition="0">
        <references count="2">
          <reference field="4294967294" count="1" selected="0">
            <x v="0"/>
          </reference>
          <reference field="12" count="1" selected="0">
            <x v="1"/>
          </reference>
        </references>
      </pivotArea>
    </chartFormat>
    <chartFormat chart="34" format="14">
      <pivotArea type="data" outline="0" fieldPosition="0">
        <references count="2">
          <reference field="4294967294" count="1" selected="0">
            <x v="0"/>
          </reference>
          <reference field="12" count="1" selected="0">
            <x v="2"/>
          </reference>
        </references>
      </pivotArea>
    </chartFormat>
    <chartFormat chart="36" format="19" series="1">
      <pivotArea type="data" outline="0" fieldPosition="0">
        <references count="1">
          <reference field="4294967294" count="1" selected="0">
            <x v="0"/>
          </reference>
        </references>
      </pivotArea>
    </chartFormat>
    <chartFormat chart="36" format="20">
      <pivotArea type="data" outline="0" fieldPosition="0">
        <references count="2">
          <reference field="4294967294" count="1" selected="0">
            <x v="0"/>
          </reference>
          <reference field="12" count="1" selected="0">
            <x v="0"/>
          </reference>
        </references>
      </pivotArea>
    </chartFormat>
    <chartFormat chart="36" format="21">
      <pivotArea type="data" outline="0" fieldPosition="0">
        <references count="2">
          <reference field="4294967294" count="1" selected="0">
            <x v="0"/>
          </reference>
          <reference field="12" count="1" selected="0">
            <x v="1"/>
          </reference>
        </references>
      </pivotArea>
    </chartFormat>
    <chartFormat chart="36" format="22">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D95823-D49F-46BE-8242-59553221B3C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3:B8" firstHeaderRow="1" firstDataRow="1" firstDataCol="1"/>
  <pivotFields count="2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pivotField showAll="0"/>
    <pivotField showAll="0"/>
    <pivotField showAll="0"/>
    <pivotField showAll="0"/>
    <pivotField showAll="0"/>
    <pivotField numFmtId="22" showAll="0"/>
    <pivotField showAll="0"/>
    <pivotField showAll="0"/>
    <pivotField showAll="0"/>
    <pivotField showAll="0">
      <items count="4">
        <item x="2"/>
        <item x="0"/>
        <item x="1"/>
        <item t="default"/>
      </items>
    </pivotField>
    <pivotField showAll="0"/>
    <pivotField showAll="0"/>
    <pivotField axis="axisRow" showAll="0">
      <items count="5">
        <item x="3"/>
        <item x="0"/>
        <item x="2"/>
        <item x="1"/>
        <item t="default"/>
      </items>
    </pivotField>
    <pivotField showAll="0">
      <items count="14">
        <item x="5"/>
        <item x="9"/>
        <item x="6"/>
        <item x="1"/>
        <item x="7"/>
        <item x="8"/>
        <item x="3"/>
        <item x="0"/>
        <item x="2"/>
        <item x="11"/>
        <item x="10"/>
        <item x="12"/>
        <item x="4"/>
        <item t="default"/>
      </items>
    </pivotField>
    <pivotField showAll="0"/>
    <pivotField showAll="0"/>
    <pivotField dataField="1" showAll="0"/>
    <pivotField showAll="0"/>
  </pivotFields>
  <rowFields count="1">
    <field x="14"/>
  </rowFields>
  <rowItems count="5">
    <i>
      <x/>
    </i>
    <i>
      <x v="1"/>
    </i>
    <i>
      <x v="2"/>
    </i>
    <i>
      <x v="3"/>
    </i>
    <i t="grand">
      <x/>
    </i>
  </rowItems>
  <colItems count="1">
    <i/>
  </colItems>
  <dataFields count="1">
    <dataField name="Count of revenue" fld="18" subtotal="count" baseField="0" baseItem="0"/>
  </dataFields>
  <chartFormats count="6">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D68219-8EED-4C6E-9B48-5D3D042D4B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N6:O33" firstHeaderRow="1" firstDataRow="1" firstDataCol="1"/>
  <pivotFields count="20">
    <pivotField showAll="0"/>
    <pivotField numFmtId="14" showAll="0"/>
    <pivotField showAll="0"/>
    <pivotField showAll="0"/>
    <pivotField showAll="0"/>
    <pivotField showAll="0"/>
    <pivotField showAll="0"/>
    <pivotField numFmtId="22" showAll="0"/>
    <pivotField showAll="0"/>
    <pivotField showAll="0"/>
    <pivotField dataField="1" showAll="0"/>
    <pivotField showAll="0"/>
    <pivotField showAll="0"/>
    <pivotField showAll="0"/>
    <pivotField showAll="0"/>
    <pivotField showAll="0"/>
    <pivotField showAll="0"/>
    <pivotField showAll="0"/>
    <pivotField axis="axisRow" showAll="0">
      <items count="27">
        <item x="3"/>
        <item x="23"/>
        <item x="20"/>
        <item x="11"/>
        <item x="8"/>
        <item x="4"/>
        <item x="9"/>
        <item x="14"/>
        <item x="15"/>
        <item x="10"/>
        <item x="5"/>
        <item x="6"/>
        <item x="19"/>
        <item x="18"/>
        <item x="12"/>
        <item x="25"/>
        <item x="17"/>
        <item x="13"/>
        <item x="0"/>
        <item x="1"/>
        <item x="7"/>
        <item x="16"/>
        <item x="24"/>
        <item x="21"/>
        <item x="2"/>
        <item x="22"/>
        <item t="default"/>
      </items>
    </pivotField>
    <pivotField showAll="0"/>
  </pivotFields>
  <rowFields count="1">
    <field x="1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transaction_qty" fld="10" subtotal="count" baseField="18" baseItem="0"/>
  </dataFields>
  <chartFormats count="3">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B083C8-283B-424D-872F-57C4474447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L5:M32" firstHeaderRow="1" firstDataRow="1" firstDataCol="1"/>
  <pivotFields count="20">
    <pivotField showAll="0"/>
    <pivotField numFmtId="14" showAll="0"/>
    <pivotField showAll="0"/>
    <pivotField showAll="0"/>
    <pivotField showAll="0"/>
    <pivotField showAll="0"/>
    <pivotField showAll="0"/>
    <pivotField numFmtId="22" showAll="0"/>
    <pivotField showAll="0"/>
    <pivotField showAll="0"/>
    <pivotField dataField="1" showAll="0"/>
    <pivotField showAll="0"/>
    <pivotField showAll="0"/>
    <pivotField showAll="0"/>
    <pivotField showAll="0"/>
    <pivotField showAll="0"/>
    <pivotField showAll="0"/>
    <pivotField showAll="0"/>
    <pivotField axis="axisRow" showAll="0">
      <items count="27">
        <item x="3"/>
        <item x="23"/>
        <item x="20"/>
        <item x="11"/>
        <item x="8"/>
        <item x="4"/>
        <item x="9"/>
        <item x="14"/>
        <item x="15"/>
        <item x="10"/>
        <item x="5"/>
        <item x="6"/>
        <item x="19"/>
        <item x="18"/>
        <item x="12"/>
        <item x="25"/>
        <item x="17"/>
        <item x="13"/>
        <item x="0"/>
        <item x="1"/>
        <item x="7"/>
        <item x="16"/>
        <item x="24"/>
        <item x="21"/>
        <item x="2"/>
        <item x="22"/>
        <item t="default"/>
      </items>
    </pivotField>
    <pivotField showAll="0"/>
  </pivotFields>
  <rowFields count="1">
    <field x="1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transaction_qty" fld="10" subtotal="count" baseField="18" baseItem="0"/>
  </dataFields>
  <chartFormats count="3">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ECFB62-22EC-4BD6-9ED3-7E7A952F84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0" firstHeaderRow="1" firstDataRow="1" firstDataCol="1"/>
  <pivotFields count="20">
    <pivotField showAll="0"/>
    <pivotField numFmtId="14" showAll="0"/>
    <pivotField showAll="0"/>
    <pivotField showAll="0"/>
    <pivotField showAll="0"/>
    <pivotField showAll="0"/>
    <pivotField showAll="0"/>
    <pivotField numFmtId="22" showAll="0"/>
    <pivotField dataField="1" showAll="0"/>
    <pivotField showAll="0"/>
    <pivotField showAll="0"/>
    <pivotField showAll="0"/>
    <pivotField showAll="0"/>
    <pivotField showAll="0"/>
    <pivotField showAll="0"/>
    <pivotField showAll="0"/>
    <pivotField showAll="0"/>
    <pivotField showAll="0"/>
    <pivotField axis="axisRow" showAll="0">
      <items count="27">
        <item x="3"/>
        <item x="23"/>
        <item x="20"/>
        <item x="11"/>
        <item x="8"/>
        <item x="4"/>
        <item x="9"/>
        <item x="14"/>
        <item x="15"/>
        <item x="10"/>
        <item x="5"/>
        <item x="6"/>
        <item x="19"/>
        <item x="18"/>
        <item x="12"/>
        <item x="25"/>
        <item x="17"/>
        <item x="13"/>
        <item x="0"/>
        <item x="1"/>
        <item x="7"/>
        <item x="16"/>
        <item x="24"/>
        <item x="21"/>
        <item x="2"/>
        <item x="22"/>
        <item t="default"/>
      </items>
    </pivotField>
    <pivotField showAll="0"/>
  </pivotFields>
  <rowFields count="1">
    <field x="1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hour" fld="8"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6FD215-54B1-457B-B83B-1432BF705C04}" autoFormatId="16" applyNumberFormats="0" applyBorderFormats="0" applyFontFormats="0" applyPatternFormats="0" applyAlignmentFormats="0" applyWidthHeightFormats="0">
  <queryTableRefresh nextId="21">
    <queryTableFields count="20">
      <queryTableField id="1" name="transaction_id" tableColumnId="1"/>
      <queryTableField id="2" name="transaction_date" tableColumnId="2"/>
      <queryTableField id="3" name="year" tableColumnId="3"/>
      <queryTableField id="4" name="month" tableColumnId="4"/>
      <queryTableField id="5" name="month_name" tableColumnId="5"/>
      <queryTableField id="6" name="day" tableColumnId="6"/>
      <queryTableField id="7" name="day_name" tableColumnId="7"/>
      <queryTableField id="8" name="transaction_time" tableColumnId="8"/>
      <queryTableField id="9" name="hour" tableColumnId="9"/>
      <queryTableField id="10" name="time_of_day" tableColumnId="10"/>
      <queryTableField id="11" name="transaction_qty" tableColumnId="11"/>
      <queryTableField id="12" name="store_id" tableColumnId="12"/>
      <queryTableField id="13" name="store_location" tableColumnId="13"/>
      <queryTableField id="14" name="product_id" tableColumnId="14"/>
      <queryTableField id="15" name="product_category" tableColumnId="15"/>
      <queryTableField id="16" name="product_type" tableColumnId="16"/>
      <queryTableField id="17" name="product_detail" tableColumnId="17"/>
      <queryTableField id="18" name="unit_price" tableColumnId="18"/>
      <queryTableField id="19" name="revenue" tableColumnId="19"/>
      <queryTableField id="20" name="Day_classification"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885C58C-163E-4265-A2BE-F987A0619C0E}" sourceName="product_category">
  <pivotTables>
    <pivotTable tabId="3" name="PivotTable1"/>
  </pivotTables>
  <data>
    <tabular pivotCacheId="167508236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F9F4D182-4A38-49DA-B74C-A43185B8D984}" sourceName="product_type">
  <pivotTables>
    <pivotTable tabId="3" name="PivotTable1"/>
  </pivotTables>
  <data>
    <tabular pivotCacheId="1675082363">
      <items count="13">
        <i x="5" s="1"/>
        <i x="9" s="1"/>
        <i x="6" s="1"/>
        <i x="1" s="1"/>
        <i x="7" s="1"/>
        <i x="8" s="1"/>
        <i x="3" s="1"/>
        <i x="0" s="1"/>
        <i x="2" s="1"/>
        <i x="11" s="1"/>
        <i x="10" s="1"/>
        <i x="1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id" xr10:uid="{80B8CFAD-3B63-41C1-9053-A42E07904817}" sourceName="transaction_id">
  <pivotTables>
    <pivotTable tabId="3" name="PivotTable1"/>
  </pivotTables>
  <data>
    <tabular pivotCacheId="1675082363">
      <items count="1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FD621AAC-5DE8-40FB-9E3E-E526B03D7E4E}" sourceName="store_location">
  <pivotTables>
    <pivotTable tabId="3" name="PivotTable3"/>
  </pivotTables>
  <data>
    <tabular pivotCacheId="167508236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0D0063A2-463A-43DF-9DCE-6AFEB02B20CC}" sourceName="store_id">
  <pivotTables>
    <pivotTable tabId="3" name="PivotTable1"/>
  </pivotTables>
  <data>
    <tabular pivotCacheId="167508236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E6C81087-8373-47C9-ADF4-5E8CC74C2B7A}" cache="Slicer_product_category" caption="product_category" rowHeight="247650"/>
  <slicer name="product_type 1" xr10:uid="{C190AF7D-6329-4C4B-8BED-4D5113568A12}" cache="Slicer_product_type" caption="product_type" rowHeight="247650"/>
  <slicer name="transaction_id 1" xr10:uid="{83DDD814-8D2E-4038-9A64-8F5FF3AE733F}" cache="Slicer_transaction_id" caption="transaction_id" startItem="69" rowHeight="247650"/>
  <slicer name="store_location 1" xr10:uid="{CDC3AF0D-35D9-4772-931E-A35CEF6C601C}" cache="Slicer_store_location" caption="store_location" rowHeight="247650"/>
  <slicer name="store_id 1" xr10:uid="{C7616CAC-B12B-4DCC-AD0E-6C0E70404E81}" cache="Slicer_store_id" caption="store_i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987B083C-5ACE-468B-B4CA-70109188658F}" cache="Slicer_product_category" caption="product_category" rowHeight="247650"/>
  <slicer name="product_type" xr10:uid="{A1DBE673-6594-49A6-92B4-74A8CA38B6CB}" cache="Slicer_product_type" caption="product_type" rowHeight="247650"/>
  <slicer name="transaction_id" xr10:uid="{F90D63E1-7CBC-42C9-A932-2A40C8262EF0}" cache="Slicer_transaction_id" caption="transaction_id" startItem="69" rowHeight="247650"/>
  <slicer name="store_location" xr10:uid="{A1E9511D-C0AC-45D4-B44E-41D64C7A3AAA}" cache="Slicer_store_location" caption="store_location" rowHeight="247650"/>
  <slicer name="store_id" xr10:uid="{D01A6464-7899-4107-86F3-239019E11C16}" cache="Slicer_store_id" caption="store_id"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579A05-6C06-4B43-A11E-FE6071C638FB}" name="Bright_Coffee_Shop_dataset" displayName="Bright_Coffee_Shop_dataset" ref="A1:T1001" tableType="queryTable" totalsRowShown="0">
  <autoFilter ref="A1:T1001" xr:uid="{0D579A05-6C06-4B43-A11E-FE6071C638FB}"/>
  <tableColumns count="20">
    <tableColumn id="1" xr3:uid="{1BAE2A86-244D-4A47-B94A-FFDF79926408}" uniqueName="1" name="transaction_id" queryTableFieldId="1"/>
    <tableColumn id="2" xr3:uid="{2948FE22-721F-4B37-9D37-E307140B6107}" uniqueName="2" name="transaction_date" queryTableFieldId="2" dataDxfId="12"/>
    <tableColumn id="3" xr3:uid="{FC765AF7-8D1D-4B1C-959F-197D1846AFE5}" uniqueName="3" name="year" queryTableFieldId="3"/>
    <tableColumn id="4" xr3:uid="{FCF2602C-309B-4974-ACC4-52504E48018E}" uniqueName="4" name="month" queryTableFieldId="4"/>
    <tableColumn id="5" xr3:uid="{568F3CD4-2AE7-420E-9F0E-42F282748D20}" uniqueName="5" name="month_name" queryTableFieldId="5" dataDxfId="11"/>
    <tableColumn id="6" xr3:uid="{F8D25BF8-5C58-4C1B-BC07-B833AF56A13F}" uniqueName="6" name="day" queryTableFieldId="6"/>
    <tableColumn id="7" xr3:uid="{8784DE96-13BC-4619-9168-80D8157C3EDA}" uniqueName="7" name="day_name" queryTableFieldId="7" dataDxfId="10"/>
    <tableColumn id="8" xr3:uid="{7D27B889-9546-428A-BD8C-60C3584AB7B5}" uniqueName="8" name="transaction_time" queryTableFieldId="8" dataDxfId="9"/>
    <tableColumn id="9" xr3:uid="{13A76A53-8245-4C88-9EF3-A21944ABCC49}" uniqueName="9" name="hour" queryTableFieldId="9"/>
    <tableColumn id="10" xr3:uid="{17C932C2-3B58-48AC-A6E9-B31D6751F734}" uniqueName="10" name="time_of_day" queryTableFieldId="10" dataDxfId="8"/>
    <tableColumn id="11" xr3:uid="{8DF445D4-413D-413D-A089-84ED15EE9227}" uniqueName="11" name="transaction_qty" queryTableFieldId="11" dataDxfId="7"/>
    <tableColumn id="12" xr3:uid="{0A4A9BAD-78D8-4E2F-96AB-9576AD3618A6}" uniqueName="12" name="store_id" queryTableFieldId="12"/>
    <tableColumn id="13" xr3:uid="{5F4F4428-7285-481F-996C-F66A8E532B02}" uniqueName="13" name="store_location" queryTableFieldId="13" dataDxfId="6"/>
    <tableColumn id="14" xr3:uid="{044EA5EF-4B92-4A2D-AE8E-6EFC86B7B312}" uniqueName="14" name="product_id" queryTableFieldId="14"/>
    <tableColumn id="15" xr3:uid="{185842E3-CB36-4AA6-926A-3A813B524A2E}" uniqueName="15" name="product_category" queryTableFieldId="15" dataDxfId="5"/>
    <tableColumn id="16" xr3:uid="{89BD4DDF-74C2-4937-97E2-59BFB8E5FBF4}" uniqueName="16" name="product_type" queryTableFieldId="16" dataDxfId="4"/>
    <tableColumn id="17" xr3:uid="{A2E142E7-9CAB-4EB0-BE83-D6C95B67D7E8}" uniqueName="17" name="product_detail" queryTableFieldId="17" dataDxfId="3"/>
    <tableColumn id="18" xr3:uid="{017E1AC7-A9E2-4382-80DF-70F86709DF35}" uniqueName="18" name="unit_price" queryTableFieldId="18" dataDxfId="2"/>
    <tableColumn id="19" xr3:uid="{E3183FF6-90B1-4EAD-B6FA-6A8D1C16D45A}" uniqueName="19" name="revenue" queryTableFieldId="19" dataDxfId="1"/>
    <tableColumn id="20" xr3:uid="{78B4B61A-851C-47F4-ADB5-478735D3829C}" uniqueName="20" name="Day_classification" queryTableFieldId="20"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B2AB5-5555-4AA1-BBA2-D924709EB011}">
  <dimension ref="A1:H13"/>
  <sheetViews>
    <sheetView topLeftCell="A5" workbookViewId="0">
      <selection activeCell="B14" sqref="B14"/>
    </sheetView>
  </sheetViews>
  <sheetFormatPr defaultRowHeight="14.4" x14ac:dyDescent="0.3"/>
  <cols>
    <col min="1" max="1" width="37" customWidth="1"/>
    <col min="2" max="2" width="64.77734375" customWidth="1"/>
    <col min="3" max="8" width="15.77734375" customWidth="1"/>
  </cols>
  <sheetData>
    <row r="1" spans="1:8" ht="25.8" x14ac:dyDescent="0.5">
      <c r="A1" s="27" t="s">
        <v>144</v>
      </c>
      <c r="B1" s="28"/>
      <c r="C1" s="28"/>
      <c r="D1" s="28"/>
      <c r="E1" s="28"/>
      <c r="F1" s="28"/>
      <c r="G1" s="28"/>
      <c r="H1" s="28"/>
    </row>
    <row r="2" spans="1:8" x14ac:dyDescent="0.3">
      <c r="A2" s="29" t="s">
        <v>145</v>
      </c>
      <c r="B2" s="28"/>
      <c r="C2" s="28"/>
      <c r="D2" s="28"/>
      <c r="E2" s="28"/>
      <c r="F2" s="28"/>
      <c r="G2" s="28"/>
      <c r="H2" s="28"/>
    </row>
    <row r="3" spans="1:8" x14ac:dyDescent="0.3">
      <c r="A3" s="6"/>
      <c r="B3" s="6"/>
      <c r="C3" s="6"/>
      <c r="D3" s="6"/>
      <c r="E3" s="6"/>
      <c r="F3" s="6"/>
      <c r="G3" s="6"/>
      <c r="H3" s="6"/>
    </row>
    <row r="4" spans="1:8" x14ac:dyDescent="0.3">
      <c r="A4" s="16" t="s">
        <v>146</v>
      </c>
      <c r="B4" s="16" t="s">
        <v>147</v>
      </c>
      <c r="C4" s="6"/>
      <c r="D4" s="6"/>
      <c r="E4" s="6"/>
      <c r="F4" s="6"/>
      <c r="G4" s="6"/>
      <c r="H4" s="6"/>
    </row>
    <row r="5" spans="1:8" ht="28.8" x14ac:dyDescent="0.3">
      <c r="A5" s="21" t="s">
        <v>148</v>
      </c>
      <c r="B5" s="20" t="s">
        <v>149</v>
      </c>
      <c r="C5" s="6"/>
      <c r="D5" s="6"/>
      <c r="E5" s="6"/>
      <c r="F5" s="6"/>
      <c r="G5" s="6"/>
      <c r="H5" s="6"/>
    </row>
    <row r="6" spans="1:8" ht="28.8" x14ac:dyDescent="0.3">
      <c r="A6" s="21" t="s">
        <v>150</v>
      </c>
      <c r="B6" s="20" t="s">
        <v>151</v>
      </c>
      <c r="C6" s="6"/>
      <c r="D6" s="6"/>
      <c r="E6" s="6"/>
      <c r="F6" s="6"/>
      <c r="G6" s="6"/>
      <c r="H6" s="6"/>
    </row>
    <row r="7" spans="1:8" x14ac:dyDescent="0.3">
      <c r="A7" s="21" t="s">
        <v>152</v>
      </c>
      <c r="B7" s="20" t="s">
        <v>153</v>
      </c>
      <c r="C7" s="6"/>
      <c r="D7" s="6"/>
      <c r="E7" s="6"/>
      <c r="F7" s="6"/>
      <c r="G7" s="6"/>
      <c r="H7" s="6"/>
    </row>
    <row r="8" spans="1:8" ht="28.8" x14ac:dyDescent="0.3">
      <c r="A8" s="21" t="s">
        <v>154</v>
      </c>
      <c r="B8" s="20" t="s">
        <v>313</v>
      </c>
      <c r="C8" s="6"/>
      <c r="D8" s="6"/>
      <c r="E8" s="6"/>
      <c r="F8" s="6"/>
      <c r="G8" s="6"/>
      <c r="H8" s="6"/>
    </row>
    <row r="9" spans="1:8" x14ac:dyDescent="0.3">
      <c r="A9" s="22" t="s">
        <v>155</v>
      </c>
      <c r="B9" s="23" t="s">
        <v>156</v>
      </c>
      <c r="C9" s="6"/>
      <c r="D9" s="6"/>
      <c r="E9" s="6"/>
      <c r="F9" s="6"/>
      <c r="G9" s="6"/>
      <c r="H9" s="6"/>
    </row>
    <row r="10" spans="1:8" x14ac:dyDescent="0.3">
      <c r="A10" s="21" t="s">
        <v>199</v>
      </c>
      <c r="B10" s="20" t="s">
        <v>233</v>
      </c>
      <c r="C10" s="6"/>
      <c r="D10" s="6"/>
      <c r="E10" s="6"/>
      <c r="F10" s="6"/>
      <c r="G10" s="6"/>
      <c r="H10" s="6"/>
    </row>
    <row r="11" spans="1:8" ht="28.8" x14ac:dyDescent="0.3">
      <c r="A11" s="21" t="s">
        <v>204</v>
      </c>
      <c r="B11" s="20" t="s">
        <v>234</v>
      </c>
      <c r="C11" s="6"/>
      <c r="D11" s="6"/>
      <c r="E11" s="6"/>
      <c r="F11" s="6"/>
      <c r="G11" s="6"/>
      <c r="H11" s="6"/>
    </row>
    <row r="12" spans="1:8" x14ac:dyDescent="0.3">
      <c r="A12" s="21" t="s">
        <v>207</v>
      </c>
      <c r="B12" s="20" t="s">
        <v>235</v>
      </c>
      <c r="C12" s="6"/>
      <c r="D12" s="6"/>
      <c r="E12" s="6"/>
      <c r="F12" s="6"/>
      <c r="G12" s="6"/>
      <c r="H12" s="6"/>
    </row>
    <row r="13" spans="1:8" x14ac:dyDescent="0.3">
      <c r="A13" s="21" t="s">
        <v>210</v>
      </c>
      <c r="B13" s="20" t="s">
        <v>314</v>
      </c>
      <c r="C13" s="6"/>
      <c r="D13" s="6"/>
      <c r="E13" s="6"/>
      <c r="F13" s="6"/>
      <c r="G13" s="6"/>
      <c r="H13" s="6"/>
    </row>
  </sheetData>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3801-D76F-4A0A-8982-0D2CA76433A8}">
  <dimension ref="A3:I37"/>
  <sheetViews>
    <sheetView topLeftCell="A10" workbookViewId="0">
      <selection activeCell="B25" sqref="B25"/>
    </sheetView>
  </sheetViews>
  <sheetFormatPr defaultRowHeight="14.4" x14ac:dyDescent="0.3"/>
  <cols>
    <col min="1" max="1" width="17.44140625" bestFit="1" customWidth="1"/>
    <col min="2" max="2" width="16.33203125" bestFit="1" customWidth="1"/>
    <col min="3" max="3" width="16.109375" bestFit="1" customWidth="1"/>
    <col min="8" max="8" width="21.33203125" bestFit="1" customWidth="1"/>
    <col min="9" max="9" width="16.33203125" bestFit="1" customWidth="1"/>
    <col min="13" max="14" width="8.88671875" customWidth="1"/>
  </cols>
  <sheetData>
    <row r="3" spans="1:9" x14ac:dyDescent="0.3">
      <c r="A3" s="3" t="s">
        <v>126</v>
      </c>
      <c r="B3" t="s">
        <v>128</v>
      </c>
      <c r="H3" s="3" t="s">
        <v>126</v>
      </c>
      <c r="I3" t="s">
        <v>128</v>
      </c>
    </row>
    <row r="4" spans="1:9" x14ac:dyDescent="0.3">
      <c r="A4" s="4" t="s">
        <v>43</v>
      </c>
      <c r="B4">
        <v>132</v>
      </c>
      <c r="H4" s="4" t="s">
        <v>48</v>
      </c>
      <c r="I4">
        <v>115</v>
      </c>
    </row>
    <row r="5" spans="1:9" x14ac:dyDescent="0.3">
      <c r="A5" s="4" t="s">
        <v>24</v>
      </c>
      <c r="B5">
        <v>444</v>
      </c>
      <c r="H5" s="4" t="s">
        <v>71</v>
      </c>
      <c r="I5">
        <v>32</v>
      </c>
    </row>
    <row r="6" spans="1:9" x14ac:dyDescent="0.3">
      <c r="A6" s="4" t="s">
        <v>35</v>
      </c>
      <c r="B6">
        <v>80</v>
      </c>
      <c r="H6" s="4" t="s">
        <v>57</v>
      </c>
      <c r="I6">
        <v>78</v>
      </c>
    </row>
    <row r="7" spans="1:9" x14ac:dyDescent="0.3">
      <c r="A7" s="4" t="s">
        <v>30</v>
      </c>
      <c r="B7">
        <v>344</v>
      </c>
      <c r="H7" s="4" t="s">
        <v>31</v>
      </c>
      <c r="I7">
        <v>134</v>
      </c>
    </row>
    <row r="8" spans="1:9" x14ac:dyDescent="0.3">
      <c r="A8" s="4" t="s">
        <v>127</v>
      </c>
      <c r="B8">
        <v>1000</v>
      </c>
      <c r="H8" s="4" t="s">
        <v>60</v>
      </c>
      <c r="I8">
        <v>48</v>
      </c>
    </row>
    <row r="9" spans="1:9" x14ac:dyDescent="0.3">
      <c r="H9" s="4" t="s">
        <v>65</v>
      </c>
      <c r="I9">
        <v>84</v>
      </c>
    </row>
    <row r="10" spans="1:9" x14ac:dyDescent="0.3">
      <c r="H10" s="4" t="s">
        <v>40</v>
      </c>
      <c r="I10">
        <v>76</v>
      </c>
    </row>
    <row r="11" spans="1:9" x14ac:dyDescent="0.3">
      <c r="A11" s="3" t="s">
        <v>126</v>
      </c>
      <c r="B11" t="s">
        <v>128</v>
      </c>
      <c r="H11" s="4" t="s">
        <v>25</v>
      </c>
      <c r="I11">
        <v>116</v>
      </c>
    </row>
    <row r="12" spans="1:9" x14ac:dyDescent="0.3">
      <c r="A12" s="4" t="s">
        <v>114</v>
      </c>
      <c r="B12">
        <v>337</v>
      </c>
      <c r="H12" s="4" t="s">
        <v>36</v>
      </c>
      <c r="I12">
        <v>80</v>
      </c>
    </row>
    <row r="13" spans="1:9" x14ac:dyDescent="0.3">
      <c r="A13" s="4" t="s">
        <v>64</v>
      </c>
      <c r="B13">
        <v>339</v>
      </c>
      <c r="H13" s="4" t="s">
        <v>82</v>
      </c>
      <c r="I13">
        <v>74</v>
      </c>
    </row>
    <row r="14" spans="1:9" x14ac:dyDescent="0.3">
      <c r="A14" s="4" t="s">
        <v>23</v>
      </c>
      <c r="B14">
        <v>324</v>
      </c>
      <c r="H14" s="4" t="s">
        <v>78</v>
      </c>
      <c r="I14">
        <v>37</v>
      </c>
    </row>
    <row r="15" spans="1:9" x14ac:dyDescent="0.3">
      <c r="A15" s="4" t="s">
        <v>127</v>
      </c>
      <c r="B15">
        <v>1000</v>
      </c>
      <c r="H15" s="4" t="s">
        <v>99</v>
      </c>
      <c r="I15">
        <v>63</v>
      </c>
    </row>
    <row r="16" spans="1:9" x14ac:dyDescent="0.3">
      <c r="H16" s="4" t="s">
        <v>44</v>
      </c>
      <c r="I16">
        <v>63</v>
      </c>
    </row>
    <row r="17" spans="1:9" x14ac:dyDescent="0.3">
      <c r="H17" s="4" t="s">
        <v>127</v>
      </c>
      <c r="I17">
        <v>1000</v>
      </c>
    </row>
    <row r="21" spans="1:9" x14ac:dyDescent="0.3">
      <c r="A21" s="3" t="s">
        <v>126</v>
      </c>
      <c r="B21" t="s">
        <v>128</v>
      </c>
    </row>
    <row r="22" spans="1:9" x14ac:dyDescent="0.3">
      <c r="A22" s="4" t="s">
        <v>43</v>
      </c>
      <c r="B22">
        <v>132</v>
      </c>
    </row>
    <row r="23" spans="1:9" x14ac:dyDescent="0.3">
      <c r="A23" s="4" t="s">
        <v>24</v>
      </c>
      <c r="B23">
        <v>444</v>
      </c>
    </row>
    <row r="24" spans="1:9" x14ac:dyDescent="0.3">
      <c r="A24" s="4" t="s">
        <v>35</v>
      </c>
      <c r="B24">
        <v>80</v>
      </c>
    </row>
    <row r="25" spans="1:9" x14ac:dyDescent="0.3">
      <c r="A25" s="4" t="s">
        <v>30</v>
      </c>
      <c r="B25">
        <v>344</v>
      </c>
    </row>
    <row r="26" spans="1:9" x14ac:dyDescent="0.3">
      <c r="A26" s="4" t="s">
        <v>127</v>
      </c>
      <c r="B26">
        <v>1000</v>
      </c>
    </row>
    <row r="32" spans="1:9" x14ac:dyDescent="0.3">
      <c r="A32" s="3" t="s">
        <v>126</v>
      </c>
      <c r="B32" t="s">
        <v>129</v>
      </c>
    </row>
    <row r="33" spans="1:2" x14ac:dyDescent="0.3">
      <c r="A33" s="4" t="s">
        <v>43</v>
      </c>
      <c r="B33">
        <v>132</v>
      </c>
    </row>
    <row r="34" spans="1:2" x14ac:dyDescent="0.3">
      <c r="A34" s="4" t="s">
        <v>24</v>
      </c>
      <c r="B34">
        <v>444</v>
      </c>
    </row>
    <row r="35" spans="1:2" x14ac:dyDescent="0.3">
      <c r="A35" s="4" t="s">
        <v>35</v>
      </c>
      <c r="B35">
        <v>80</v>
      </c>
    </row>
    <row r="36" spans="1:2" x14ac:dyDescent="0.3">
      <c r="A36" s="4" t="s">
        <v>30</v>
      </c>
      <c r="B36">
        <v>344</v>
      </c>
    </row>
    <row r="37" spans="1:2" x14ac:dyDescent="0.3">
      <c r="A37" s="4" t="s">
        <v>127</v>
      </c>
      <c r="B37">
        <v>1000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9259A-B608-4ABF-B955-4455CCA521DF}">
  <dimension ref="A3:O33"/>
  <sheetViews>
    <sheetView workbookViewId="0">
      <selection activeCell="A3" sqref="A3"/>
    </sheetView>
  </sheetViews>
  <sheetFormatPr defaultRowHeight="14.4" x14ac:dyDescent="0.3"/>
  <cols>
    <col min="1" max="1" width="13" bestFit="1" customWidth="1"/>
    <col min="2" max="2" width="11.5546875" bestFit="1" customWidth="1"/>
    <col min="12" max="12" width="13" bestFit="1" customWidth="1"/>
    <col min="13" max="13" width="22.88671875" bestFit="1" customWidth="1"/>
    <col min="14" max="14" width="13" bestFit="1" customWidth="1"/>
    <col min="15" max="15" width="22.88671875" bestFit="1" customWidth="1"/>
  </cols>
  <sheetData>
    <row r="3" spans="1:15" x14ac:dyDescent="0.3">
      <c r="A3" s="3" t="s">
        <v>126</v>
      </c>
      <c r="B3" t="s">
        <v>130</v>
      </c>
    </row>
    <row r="4" spans="1:15" x14ac:dyDescent="0.3">
      <c r="A4" s="4" t="s">
        <v>42</v>
      </c>
      <c r="B4">
        <v>304</v>
      </c>
    </row>
    <row r="5" spans="1:15" x14ac:dyDescent="0.3">
      <c r="A5" s="4" t="s">
        <v>97</v>
      </c>
      <c r="B5">
        <v>187</v>
      </c>
      <c r="L5" s="3" t="s">
        <v>126</v>
      </c>
      <c r="M5" t="s">
        <v>132</v>
      </c>
    </row>
    <row r="6" spans="1:15" x14ac:dyDescent="0.3">
      <c r="A6" s="4" t="s">
        <v>101</v>
      </c>
      <c r="B6">
        <v>94</v>
      </c>
      <c r="L6" s="4" t="s">
        <v>42</v>
      </c>
      <c r="M6">
        <v>23</v>
      </c>
      <c r="N6" s="3" t="s">
        <v>126</v>
      </c>
      <c r="O6" t="s">
        <v>132</v>
      </c>
    </row>
    <row r="7" spans="1:15" x14ac:dyDescent="0.3">
      <c r="A7" s="4" t="s">
        <v>67</v>
      </c>
      <c r="B7">
        <v>1400</v>
      </c>
      <c r="L7" s="4" t="s">
        <v>97</v>
      </c>
      <c r="M7">
        <v>14</v>
      </c>
      <c r="N7" s="4" t="s">
        <v>42</v>
      </c>
      <c r="O7">
        <v>23</v>
      </c>
    </row>
    <row r="8" spans="1:15" x14ac:dyDescent="0.3">
      <c r="A8" s="4" t="s">
        <v>55</v>
      </c>
      <c r="B8">
        <v>147</v>
      </c>
      <c r="L8" s="4" t="s">
        <v>101</v>
      </c>
      <c r="M8">
        <v>7</v>
      </c>
      <c r="N8" s="4" t="s">
        <v>97</v>
      </c>
      <c r="O8">
        <v>14</v>
      </c>
    </row>
    <row r="9" spans="1:15" x14ac:dyDescent="0.3">
      <c r="A9" s="4" t="s">
        <v>27</v>
      </c>
      <c r="B9">
        <v>1662</v>
      </c>
      <c r="L9" s="4" t="s">
        <v>67</v>
      </c>
      <c r="M9">
        <v>106</v>
      </c>
      <c r="N9" s="4" t="s">
        <v>101</v>
      </c>
      <c r="O9">
        <v>7</v>
      </c>
    </row>
    <row r="10" spans="1:15" x14ac:dyDescent="0.3">
      <c r="A10" s="4" t="s">
        <v>33</v>
      </c>
      <c r="B10">
        <v>296</v>
      </c>
      <c r="L10" s="4" t="s">
        <v>55</v>
      </c>
      <c r="M10">
        <v>12</v>
      </c>
      <c r="N10" s="4" t="s">
        <v>67</v>
      </c>
      <c r="O10">
        <v>106</v>
      </c>
    </row>
    <row r="11" spans="1:15" x14ac:dyDescent="0.3">
      <c r="A11" s="4" t="s">
        <v>73</v>
      </c>
      <c r="B11">
        <v>451</v>
      </c>
      <c r="L11" s="4" t="s">
        <v>27</v>
      </c>
      <c r="M11">
        <v>132</v>
      </c>
      <c r="N11" s="4" t="s">
        <v>55</v>
      </c>
      <c r="O11">
        <v>12</v>
      </c>
    </row>
    <row r="12" spans="1:15" x14ac:dyDescent="0.3">
      <c r="A12" s="4" t="s">
        <v>52</v>
      </c>
      <c r="B12">
        <v>810</v>
      </c>
      <c r="L12" s="4" t="s">
        <v>33</v>
      </c>
      <c r="M12">
        <v>23</v>
      </c>
      <c r="N12" s="4" t="s">
        <v>27</v>
      </c>
      <c r="O12">
        <v>132</v>
      </c>
    </row>
    <row r="13" spans="1:15" x14ac:dyDescent="0.3">
      <c r="A13" s="4" t="s">
        <v>63</v>
      </c>
      <c r="B13">
        <v>1155</v>
      </c>
      <c r="L13" s="4" t="s">
        <v>73</v>
      </c>
      <c r="M13">
        <v>35</v>
      </c>
      <c r="N13" s="4" t="s">
        <v>33</v>
      </c>
      <c r="O13">
        <v>23</v>
      </c>
    </row>
    <row r="14" spans="1:15" x14ac:dyDescent="0.3">
      <c r="A14" s="4" t="s">
        <v>47</v>
      </c>
      <c r="B14">
        <v>492</v>
      </c>
      <c r="L14" s="4" t="s">
        <v>52</v>
      </c>
      <c r="M14">
        <v>62</v>
      </c>
      <c r="N14" s="4" t="s">
        <v>73</v>
      </c>
      <c r="O14">
        <v>35</v>
      </c>
    </row>
    <row r="15" spans="1:15" x14ac:dyDescent="0.3">
      <c r="A15" s="4" t="s">
        <v>50</v>
      </c>
      <c r="B15">
        <v>247</v>
      </c>
      <c r="L15" s="4" t="s">
        <v>63</v>
      </c>
      <c r="M15">
        <v>86</v>
      </c>
      <c r="N15" s="4" t="s">
        <v>52</v>
      </c>
      <c r="O15">
        <v>62</v>
      </c>
    </row>
    <row r="16" spans="1:15" x14ac:dyDescent="0.3">
      <c r="A16" s="4" t="s">
        <v>98</v>
      </c>
      <c r="B16">
        <v>374</v>
      </c>
      <c r="L16" s="4" t="s">
        <v>47</v>
      </c>
      <c r="M16">
        <v>38</v>
      </c>
      <c r="N16" s="4" t="s">
        <v>63</v>
      </c>
      <c r="O16">
        <v>86</v>
      </c>
    </row>
    <row r="17" spans="1:15" x14ac:dyDescent="0.3">
      <c r="A17" s="4" t="s">
        <v>38</v>
      </c>
      <c r="B17">
        <v>319</v>
      </c>
      <c r="L17" s="4" t="s">
        <v>50</v>
      </c>
      <c r="M17">
        <v>18</v>
      </c>
      <c r="N17" s="4" t="s">
        <v>47</v>
      </c>
      <c r="O17">
        <v>38</v>
      </c>
    </row>
    <row r="18" spans="1:15" x14ac:dyDescent="0.3">
      <c r="A18" s="4" t="s">
        <v>69</v>
      </c>
      <c r="B18">
        <v>171</v>
      </c>
      <c r="L18" s="4" t="s">
        <v>98</v>
      </c>
      <c r="M18">
        <v>30</v>
      </c>
      <c r="N18" s="4" t="s">
        <v>50</v>
      </c>
      <c r="O18">
        <v>18</v>
      </c>
    </row>
    <row r="19" spans="1:15" x14ac:dyDescent="0.3">
      <c r="A19" s="4" t="s">
        <v>122</v>
      </c>
      <c r="B19">
        <v>182</v>
      </c>
      <c r="L19" s="4" t="s">
        <v>38</v>
      </c>
      <c r="M19">
        <v>24</v>
      </c>
      <c r="N19" s="4" t="s">
        <v>98</v>
      </c>
      <c r="O19">
        <v>30</v>
      </c>
    </row>
    <row r="20" spans="1:15" x14ac:dyDescent="0.3">
      <c r="A20" s="4" t="s">
        <v>86</v>
      </c>
      <c r="B20">
        <v>1297</v>
      </c>
      <c r="L20" s="4" t="s">
        <v>69</v>
      </c>
      <c r="M20">
        <v>14</v>
      </c>
      <c r="N20" s="4" t="s">
        <v>38</v>
      </c>
      <c r="O20">
        <v>24</v>
      </c>
    </row>
    <row r="21" spans="1:15" x14ac:dyDescent="0.3">
      <c r="A21" s="4" t="s">
        <v>70</v>
      </c>
      <c r="B21">
        <v>110</v>
      </c>
      <c r="L21" s="4" t="s">
        <v>122</v>
      </c>
      <c r="M21">
        <v>12</v>
      </c>
      <c r="N21" s="4" t="s">
        <v>69</v>
      </c>
      <c r="O21">
        <v>14</v>
      </c>
    </row>
    <row r="22" spans="1:15" x14ac:dyDescent="0.3">
      <c r="A22" s="4" t="s">
        <v>28</v>
      </c>
      <c r="B22">
        <v>1687</v>
      </c>
      <c r="L22" s="4" t="s">
        <v>86</v>
      </c>
      <c r="M22">
        <v>96</v>
      </c>
      <c r="N22" s="4" t="s">
        <v>122</v>
      </c>
      <c r="O22">
        <v>12</v>
      </c>
    </row>
    <row r="23" spans="1:15" x14ac:dyDescent="0.3">
      <c r="A23" s="4" t="s">
        <v>34</v>
      </c>
      <c r="B23">
        <v>151</v>
      </c>
      <c r="L23" s="4" t="s">
        <v>70</v>
      </c>
      <c r="M23">
        <v>9</v>
      </c>
      <c r="N23" s="4" t="s">
        <v>86</v>
      </c>
      <c r="O23">
        <v>96</v>
      </c>
    </row>
    <row r="24" spans="1:15" x14ac:dyDescent="0.3">
      <c r="A24" s="4" t="s">
        <v>53</v>
      </c>
      <c r="B24">
        <v>396</v>
      </c>
      <c r="L24" s="4" t="s">
        <v>28</v>
      </c>
      <c r="M24">
        <v>128</v>
      </c>
      <c r="N24" s="4" t="s">
        <v>70</v>
      </c>
      <c r="O24">
        <v>9</v>
      </c>
    </row>
    <row r="25" spans="1:15" x14ac:dyDescent="0.3">
      <c r="A25" s="4" t="s">
        <v>80</v>
      </c>
      <c r="B25">
        <v>664</v>
      </c>
      <c r="L25" s="4" t="s">
        <v>34</v>
      </c>
      <c r="M25">
        <v>12</v>
      </c>
      <c r="N25" s="4" t="s">
        <v>28</v>
      </c>
      <c r="O25">
        <v>128</v>
      </c>
    </row>
    <row r="26" spans="1:15" x14ac:dyDescent="0.3">
      <c r="A26" s="4" t="s">
        <v>121</v>
      </c>
      <c r="B26">
        <v>120</v>
      </c>
      <c r="L26" s="4" t="s">
        <v>53</v>
      </c>
      <c r="M26">
        <v>30</v>
      </c>
      <c r="N26" s="4" t="s">
        <v>34</v>
      </c>
      <c r="O26">
        <v>12</v>
      </c>
    </row>
    <row r="27" spans="1:15" x14ac:dyDescent="0.3">
      <c r="A27" s="4" t="s">
        <v>106</v>
      </c>
      <c r="B27">
        <v>269</v>
      </c>
      <c r="L27" s="4" t="s">
        <v>80</v>
      </c>
      <c r="M27">
        <v>49</v>
      </c>
      <c r="N27" s="4" t="s">
        <v>53</v>
      </c>
      <c r="O27">
        <v>30</v>
      </c>
    </row>
    <row r="28" spans="1:15" x14ac:dyDescent="0.3">
      <c r="A28" s="4" t="s">
        <v>39</v>
      </c>
      <c r="B28">
        <v>66</v>
      </c>
      <c r="L28" s="4" t="s">
        <v>121</v>
      </c>
      <c r="M28">
        <v>7</v>
      </c>
      <c r="N28" s="4" t="s">
        <v>80</v>
      </c>
      <c r="O28">
        <v>49</v>
      </c>
    </row>
    <row r="29" spans="1:15" x14ac:dyDescent="0.3">
      <c r="A29" s="4" t="s">
        <v>112</v>
      </c>
      <c r="B29">
        <v>90</v>
      </c>
      <c r="L29" s="4" t="s">
        <v>106</v>
      </c>
      <c r="M29">
        <v>20</v>
      </c>
      <c r="N29" s="4" t="s">
        <v>121</v>
      </c>
      <c r="O29">
        <v>7</v>
      </c>
    </row>
    <row r="30" spans="1:15" x14ac:dyDescent="0.3">
      <c r="A30" s="4" t="s">
        <v>127</v>
      </c>
      <c r="B30">
        <v>13141</v>
      </c>
      <c r="L30" s="4" t="s">
        <v>39</v>
      </c>
      <c r="M30">
        <v>6</v>
      </c>
      <c r="N30" s="4" t="s">
        <v>106</v>
      </c>
      <c r="O30">
        <v>20</v>
      </c>
    </row>
    <row r="31" spans="1:15" x14ac:dyDescent="0.3">
      <c r="L31" s="4" t="s">
        <v>112</v>
      </c>
      <c r="M31">
        <v>7</v>
      </c>
      <c r="N31" s="4" t="s">
        <v>39</v>
      </c>
      <c r="O31">
        <v>6</v>
      </c>
    </row>
    <row r="32" spans="1:15" x14ac:dyDescent="0.3">
      <c r="L32" s="4" t="s">
        <v>127</v>
      </c>
      <c r="M32">
        <v>1000</v>
      </c>
      <c r="N32" s="4" t="s">
        <v>112</v>
      </c>
      <c r="O32">
        <v>7</v>
      </c>
    </row>
    <row r="33" spans="14:15" x14ac:dyDescent="0.3">
      <c r="N33" s="4" t="s">
        <v>127</v>
      </c>
      <c r="O3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E3E30-2995-4E9E-B1DB-3C145C5A9947}">
  <dimension ref="K15:N85"/>
  <sheetViews>
    <sheetView topLeftCell="A10" workbookViewId="0">
      <selection activeCell="B12" sqref="B12"/>
    </sheetView>
  </sheetViews>
  <sheetFormatPr defaultRowHeight="14.4" x14ac:dyDescent="0.3"/>
  <cols>
    <col min="4" max="5" width="8.88671875" customWidth="1"/>
  </cols>
  <sheetData>
    <row r="15" spans="11:11" ht="21" x14ac:dyDescent="0.4">
      <c r="K15" s="5" t="s">
        <v>131</v>
      </c>
    </row>
    <row r="37" spans="12:12" ht="18" x14ac:dyDescent="0.35">
      <c r="L37" s="14" t="s">
        <v>196</v>
      </c>
    </row>
    <row r="60" spans="12:12" ht="17.399999999999999" x14ac:dyDescent="0.3">
      <c r="L60" s="24" t="s">
        <v>197</v>
      </c>
    </row>
    <row r="85" spans="14:14" ht="21" x14ac:dyDescent="0.4">
      <c r="N85" s="26" t="s">
        <v>316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4C8B1-23CD-4909-A318-D9097DC56B44}">
  <dimension ref="K15:N85"/>
  <sheetViews>
    <sheetView topLeftCell="A10" workbookViewId="0">
      <selection activeCell="B12" sqref="B12"/>
    </sheetView>
  </sheetViews>
  <sheetFormatPr defaultRowHeight="14.4" x14ac:dyDescent="0.3"/>
  <cols>
    <col min="4" max="5" width="8.88671875" customWidth="1"/>
  </cols>
  <sheetData>
    <row r="15" spans="11:11" ht="21" x14ac:dyDescent="0.4">
      <c r="K15" s="5" t="s">
        <v>131</v>
      </c>
    </row>
    <row r="37" spans="12:12" ht="18" x14ac:dyDescent="0.35">
      <c r="L37" s="14" t="s">
        <v>196</v>
      </c>
    </row>
    <row r="60" spans="12:12" ht="17.399999999999999" x14ac:dyDescent="0.3">
      <c r="L60" s="24" t="s">
        <v>197</v>
      </c>
    </row>
    <row r="85" spans="14:14" ht="21" x14ac:dyDescent="0.4">
      <c r="N85" s="26" t="s">
        <v>316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36293-0E2A-42D4-A26F-30A3751A0766}">
  <dimension ref="A1:T1001"/>
  <sheetViews>
    <sheetView topLeftCell="A8" workbookViewId="0"/>
  </sheetViews>
  <sheetFormatPr defaultRowHeight="14.4" x14ac:dyDescent="0.3"/>
  <cols>
    <col min="1" max="1" width="15.6640625" bestFit="1" customWidth="1"/>
    <col min="2" max="2" width="17.77734375" bestFit="1" customWidth="1"/>
    <col min="3" max="3" width="6.77734375" bestFit="1" customWidth="1"/>
    <col min="4" max="4" width="8.77734375" bestFit="1" customWidth="1"/>
    <col min="5" max="5" width="14.44140625" bestFit="1" customWidth="1"/>
    <col min="6" max="6" width="6.21875" bestFit="1" customWidth="1"/>
    <col min="7" max="7" width="11.88671875" bestFit="1" customWidth="1"/>
    <col min="8" max="8" width="17.77734375" bestFit="1" customWidth="1"/>
    <col min="9" max="9" width="7.21875" bestFit="1" customWidth="1"/>
    <col min="10" max="10" width="13.33203125" bestFit="1" customWidth="1"/>
    <col min="11" max="11" width="16.5546875" style="8" bestFit="1" customWidth="1"/>
    <col min="12" max="12" width="10" bestFit="1" customWidth="1"/>
    <col min="13" max="13" width="15.77734375" bestFit="1" customWidth="1"/>
    <col min="14" max="14" width="12.33203125" bestFit="1" customWidth="1"/>
    <col min="15" max="15" width="18" bestFit="1" customWidth="1"/>
    <col min="16" max="16" width="21.33203125" bestFit="1" customWidth="1"/>
    <col min="17" max="17" width="27.21875" bestFit="1" customWidth="1"/>
    <col min="18" max="18" width="11.6640625" style="7" bestFit="1" customWidth="1"/>
    <col min="19" max="19" width="9.88671875" style="7" bestFit="1" customWidth="1"/>
    <col min="20" max="20" width="19.109375" bestFit="1" customWidth="1"/>
  </cols>
  <sheetData>
    <row r="1" spans="1:20" x14ac:dyDescent="0.3">
      <c r="A1" t="s">
        <v>0</v>
      </c>
      <c r="B1" t="s">
        <v>1</v>
      </c>
      <c r="C1" t="s">
        <v>2</v>
      </c>
      <c r="D1" t="s">
        <v>3</v>
      </c>
      <c r="E1" t="s">
        <v>4</v>
      </c>
      <c r="F1" t="s">
        <v>5</v>
      </c>
      <c r="G1" t="s">
        <v>6</v>
      </c>
      <c r="H1" t="s">
        <v>7</v>
      </c>
      <c r="I1" t="s">
        <v>8</v>
      </c>
      <c r="J1" t="s">
        <v>9</v>
      </c>
      <c r="K1" s="8" t="s">
        <v>10</v>
      </c>
      <c r="L1" t="s">
        <v>11</v>
      </c>
      <c r="M1" t="s">
        <v>12</v>
      </c>
      <c r="N1" t="s">
        <v>13</v>
      </c>
      <c r="O1" t="s">
        <v>14</v>
      </c>
      <c r="P1" t="s">
        <v>15</v>
      </c>
      <c r="Q1" t="s">
        <v>16</v>
      </c>
      <c r="R1" s="7" t="s">
        <v>17</v>
      </c>
      <c r="S1" s="7" t="s">
        <v>18</v>
      </c>
      <c r="T1" t="s">
        <v>19</v>
      </c>
    </row>
    <row r="2" spans="1:20" x14ac:dyDescent="0.3">
      <c r="A2">
        <v>1</v>
      </c>
      <c r="B2" s="1">
        <v>44927</v>
      </c>
      <c r="C2">
        <v>2023</v>
      </c>
      <c r="D2">
        <v>1</v>
      </c>
      <c r="E2" t="s">
        <v>20</v>
      </c>
      <c r="F2">
        <v>1</v>
      </c>
      <c r="G2" t="s">
        <v>21</v>
      </c>
      <c r="H2" s="2">
        <v>46203.379293981481</v>
      </c>
      <c r="I2">
        <v>7</v>
      </c>
      <c r="J2" t="s">
        <v>22</v>
      </c>
      <c r="K2" s="8">
        <v>2</v>
      </c>
      <c r="L2">
        <v>5</v>
      </c>
      <c r="M2" t="s">
        <v>23</v>
      </c>
      <c r="N2">
        <v>32</v>
      </c>
      <c r="O2" t="s">
        <v>24</v>
      </c>
      <c r="P2" t="s">
        <v>25</v>
      </c>
      <c r="Q2" t="s">
        <v>26</v>
      </c>
      <c r="R2" s="7">
        <v>3</v>
      </c>
      <c r="S2" s="7">
        <v>6</v>
      </c>
      <c r="T2" t="s">
        <v>29</v>
      </c>
    </row>
    <row r="3" spans="1:20" x14ac:dyDescent="0.3">
      <c r="A3">
        <v>2</v>
      </c>
      <c r="B3" s="1">
        <v>44927</v>
      </c>
      <c r="C3">
        <v>2023</v>
      </c>
      <c r="D3">
        <v>1</v>
      </c>
      <c r="E3" t="s">
        <v>20</v>
      </c>
      <c r="F3">
        <v>1</v>
      </c>
      <c r="G3" t="s">
        <v>21</v>
      </c>
      <c r="H3" s="2">
        <v>46203.381203703706</v>
      </c>
      <c r="I3">
        <v>7</v>
      </c>
      <c r="J3" t="s">
        <v>22</v>
      </c>
      <c r="K3" s="8">
        <v>2</v>
      </c>
      <c r="L3">
        <v>5</v>
      </c>
      <c r="M3" t="s">
        <v>23</v>
      </c>
      <c r="N3">
        <v>57</v>
      </c>
      <c r="O3" t="s">
        <v>30</v>
      </c>
      <c r="P3" t="s">
        <v>31</v>
      </c>
      <c r="Q3" t="s">
        <v>32</v>
      </c>
      <c r="R3" s="7">
        <v>3.1</v>
      </c>
      <c r="S3" s="7">
        <v>6.2</v>
      </c>
      <c r="T3" t="s">
        <v>29</v>
      </c>
    </row>
    <row r="4" spans="1:20" x14ac:dyDescent="0.3">
      <c r="A4">
        <v>3</v>
      </c>
      <c r="B4" s="1">
        <v>44927</v>
      </c>
      <c r="C4">
        <v>2023</v>
      </c>
      <c r="D4">
        <v>1</v>
      </c>
      <c r="E4" t="s">
        <v>20</v>
      </c>
      <c r="F4">
        <v>1</v>
      </c>
      <c r="G4" t="s">
        <v>21</v>
      </c>
      <c r="H4" s="2">
        <v>46203.384768518517</v>
      </c>
      <c r="I4">
        <v>7</v>
      </c>
      <c r="J4" t="s">
        <v>22</v>
      </c>
      <c r="K4" s="8">
        <v>2</v>
      </c>
      <c r="L4">
        <v>5</v>
      </c>
      <c r="M4" t="s">
        <v>23</v>
      </c>
      <c r="N4">
        <v>59</v>
      </c>
      <c r="O4" t="s">
        <v>35</v>
      </c>
      <c r="P4" t="s">
        <v>36</v>
      </c>
      <c r="Q4" t="s">
        <v>37</v>
      </c>
      <c r="R4" s="7">
        <v>4.5</v>
      </c>
      <c r="S4" s="7">
        <v>9</v>
      </c>
      <c r="T4" t="s">
        <v>29</v>
      </c>
    </row>
    <row r="5" spans="1:20" x14ac:dyDescent="0.3">
      <c r="A5">
        <v>4</v>
      </c>
      <c r="B5" s="1">
        <v>44927</v>
      </c>
      <c r="C5">
        <v>2023</v>
      </c>
      <c r="D5">
        <v>1</v>
      </c>
      <c r="E5" t="s">
        <v>20</v>
      </c>
      <c r="F5">
        <v>1</v>
      </c>
      <c r="G5" t="s">
        <v>21</v>
      </c>
      <c r="H5" s="2">
        <v>46203.389166666668</v>
      </c>
      <c r="I5">
        <v>7</v>
      </c>
      <c r="J5" t="s">
        <v>22</v>
      </c>
      <c r="K5" s="8">
        <v>1</v>
      </c>
      <c r="L5">
        <v>5</v>
      </c>
      <c r="M5" t="s">
        <v>23</v>
      </c>
      <c r="N5">
        <v>22</v>
      </c>
      <c r="O5" t="s">
        <v>24</v>
      </c>
      <c r="P5" t="s">
        <v>40</v>
      </c>
      <c r="Q5" t="s">
        <v>41</v>
      </c>
      <c r="R5" s="7">
        <v>2</v>
      </c>
      <c r="S5" s="7">
        <v>2</v>
      </c>
      <c r="T5" t="s">
        <v>29</v>
      </c>
    </row>
    <row r="6" spans="1:20" x14ac:dyDescent="0.3">
      <c r="A6">
        <v>5</v>
      </c>
      <c r="B6" s="1">
        <v>44927</v>
      </c>
      <c r="C6">
        <v>2023</v>
      </c>
      <c r="D6">
        <v>1</v>
      </c>
      <c r="E6" t="s">
        <v>20</v>
      </c>
      <c r="F6">
        <v>1</v>
      </c>
      <c r="G6" t="s">
        <v>21</v>
      </c>
      <c r="H6" s="2">
        <v>46203.390752314815</v>
      </c>
      <c r="I6">
        <v>7</v>
      </c>
      <c r="J6" t="s">
        <v>22</v>
      </c>
      <c r="K6" s="8">
        <v>2</v>
      </c>
      <c r="L6">
        <v>5</v>
      </c>
      <c r="M6" t="s">
        <v>23</v>
      </c>
      <c r="N6">
        <v>57</v>
      </c>
      <c r="O6" t="s">
        <v>30</v>
      </c>
      <c r="P6" t="s">
        <v>31</v>
      </c>
      <c r="Q6" t="s">
        <v>32</v>
      </c>
      <c r="R6" s="7">
        <v>3.1</v>
      </c>
      <c r="S6" s="7">
        <v>6.2</v>
      </c>
      <c r="T6" t="s">
        <v>29</v>
      </c>
    </row>
    <row r="7" spans="1:20" x14ac:dyDescent="0.3">
      <c r="A7">
        <v>6</v>
      </c>
      <c r="B7" s="1">
        <v>44927</v>
      </c>
      <c r="C7">
        <v>2023</v>
      </c>
      <c r="D7">
        <v>1</v>
      </c>
      <c r="E7" t="s">
        <v>20</v>
      </c>
      <c r="F7">
        <v>1</v>
      </c>
      <c r="G7" t="s">
        <v>21</v>
      </c>
      <c r="H7" s="2">
        <v>46203.390752314815</v>
      </c>
      <c r="I7">
        <v>7</v>
      </c>
      <c r="J7" t="s">
        <v>22</v>
      </c>
      <c r="K7" s="8">
        <v>1</v>
      </c>
      <c r="L7">
        <v>5</v>
      </c>
      <c r="M7" t="s">
        <v>23</v>
      </c>
      <c r="N7">
        <v>77</v>
      </c>
      <c r="O7" t="s">
        <v>43</v>
      </c>
      <c r="P7" t="s">
        <v>44</v>
      </c>
      <c r="Q7" t="s">
        <v>45</v>
      </c>
      <c r="R7" s="7">
        <v>3</v>
      </c>
      <c r="S7" s="7">
        <v>3</v>
      </c>
      <c r="T7" t="s">
        <v>29</v>
      </c>
    </row>
    <row r="8" spans="1:20" x14ac:dyDescent="0.3">
      <c r="A8">
        <v>7</v>
      </c>
      <c r="B8" s="1">
        <v>44927</v>
      </c>
      <c r="C8">
        <v>2023</v>
      </c>
      <c r="D8">
        <v>1</v>
      </c>
      <c r="E8" t="s">
        <v>20</v>
      </c>
      <c r="F8">
        <v>1</v>
      </c>
      <c r="G8" t="s">
        <v>21</v>
      </c>
      <c r="H8" s="2">
        <v>46203.392928240741</v>
      </c>
      <c r="I8">
        <v>7</v>
      </c>
      <c r="J8" t="s">
        <v>22</v>
      </c>
      <c r="K8" s="8">
        <v>1</v>
      </c>
      <c r="L8">
        <v>5</v>
      </c>
      <c r="M8" t="s">
        <v>23</v>
      </c>
      <c r="N8">
        <v>22</v>
      </c>
      <c r="O8" t="s">
        <v>24</v>
      </c>
      <c r="P8" t="s">
        <v>40</v>
      </c>
      <c r="Q8" t="s">
        <v>41</v>
      </c>
      <c r="R8" s="7">
        <v>2</v>
      </c>
      <c r="S8" s="7">
        <v>2</v>
      </c>
      <c r="T8" t="s">
        <v>29</v>
      </c>
    </row>
    <row r="9" spans="1:20" x14ac:dyDescent="0.3">
      <c r="A9">
        <v>8</v>
      </c>
      <c r="B9" s="1">
        <v>44927</v>
      </c>
      <c r="C9">
        <v>2023</v>
      </c>
      <c r="D9">
        <v>1</v>
      </c>
      <c r="E9" t="s">
        <v>20</v>
      </c>
      <c r="F9">
        <v>1</v>
      </c>
      <c r="G9" t="s">
        <v>21</v>
      </c>
      <c r="H9" s="2">
        <v>46203.398310185185</v>
      </c>
      <c r="I9">
        <v>7</v>
      </c>
      <c r="J9" t="s">
        <v>22</v>
      </c>
      <c r="K9" s="8">
        <v>2</v>
      </c>
      <c r="L9">
        <v>5</v>
      </c>
      <c r="M9" t="s">
        <v>23</v>
      </c>
      <c r="N9">
        <v>28</v>
      </c>
      <c r="O9" t="s">
        <v>24</v>
      </c>
      <c r="P9" t="s">
        <v>25</v>
      </c>
      <c r="Q9" t="s">
        <v>46</v>
      </c>
      <c r="R9" s="7">
        <v>2</v>
      </c>
      <c r="S9" s="7">
        <v>4</v>
      </c>
      <c r="T9" t="s">
        <v>29</v>
      </c>
    </row>
    <row r="10" spans="1:20" x14ac:dyDescent="0.3">
      <c r="A10">
        <v>9</v>
      </c>
      <c r="B10" s="1">
        <v>44927</v>
      </c>
      <c r="C10">
        <v>2023</v>
      </c>
      <c r="D10">
        <v>1</v>
      </c>
      <c r="E10" t="s">
        <v>20</v>
      </c>
      <c r="F10">
        <v>1</v>
      </c>
      <c r="G10" t="s">
        <v>21</v>
      </c>
      <c r="H10" s="2">
        <v>46203.402233796296</v>
      </c>
      <c r="I10">
        <v>7</v>
      </c>
      <c r="J10" t="s">
        <v>22</v>
      </c>
      <c r="K10" s="8">
        <v>1</v>
      </c>
      <c r="L10">
        <v>5</v>
      </c>
      <c r="M10" t="s">
        <v>23</v>
      </c>
      <c r="N10">
        <v>39</v>
      </c>
      <c r="O10" t="s">
        <v>24</v>
      </c>
      <c r="P10" t="s">
        <v>48</v>
      </c>
      <c r="Q10" t="s">
        <v>49</v>
      </c>
      <c r="R10" s="7">
        <v>4.25</v>
      </c>
      <c r="S10" s="7">
        <v>4.25</v>
      </c>
      <c r="T10" t="s">
        <v>29</v>
      </c>
    </row>
    <row r="11" spans="1:20" x14ac:dyDescent="0.3">
      <c r="A11">
        <v>10</v>
      </c>
      <c r="B11" s="1">
        <v>44927</v>
      </c>
      <c r="C11">
        <v>2023</v>
      </c>
      <c r="D11">
        <v>1</v>
      </c>
      <c r="E11" t="s">
        <v>20</v>
      </c>
      <c r="F11">
        <v>1</v>
      </c>
      <c r="G11" t="s">
        <v>21</v>
      </c>
      <c r="H11" s="2">
        <v>46203.40247685185</v>
      </c>
      <c r="I11">
        <v>7</v>
      </c>
      <c r="J11" t="s">
        <v>22</v>
      </c>
      <c r="K11" s="8">
        <v>2</v>
      </c>
      <c r="L11">
        <v>5</v>
      </c>
      <c r="M11" t="s">
        <v>23</v>
      </c>
      <c r="N11">
        <v>58</v>
      </c>
      <c r="O11" t="s">
        <v>35</v>
      </c>
      <c r="P11" t="s">
        <v>36</v>
      </c>
      <c r="Q11" t="s">
        <v>51</v>
      </c>
      <c r="R11" s="7">
        <v>3.5</v>
      </c>
      <c r="S11" s="7">
        <v>7</v>
      </c>
      <c r="T11" t="s">
        <v>29</v>
      </c>
    </row>
    <row r="12" spans="1:20" x14ac:dyDescent="0.3">
      <c r="A12">
        <v>11</v>
      </c>
      <c r="B12" s="1">
        <v>44927</v>
      </c>
      <c r="C12">
        <v>2023</v>
      </c>
      <c r="D12">
        <v>1</v>
      </c>
      <c r="E12" t="s">
        <v>20</v>
      </c>
      <c r="F12">
        <v>1</v>
      </c>
      <c r="G12" t="s">
        <v>21</v>
      </c>
      <c r="H12" s="2">
        <v>46203.404918981483</v>
      </c>
      <c r="I12">
        <v>7</v>
      </c>
      <c r="J12" t="s">
        <v>22</v>
      </c>
      <c r="K12" s="8">
        <v>1</v>
      </c>
      <c r="L12">
        <v>5</v>
      </c>
      <c r="M12" t="s">
        <v>23</v>
      </c>
      <c r="N12">
        <v>56</v>
      </c>
      <c r="O12" t="s">
        <v>30</v>
      </c>
      <c r="P12" t="s">
        <v>31</v>
      </c>
      <c r="Q12" t="s">
        <v>54</v>
      </c>
      <c r="R12" s="7">
        <v>2.5499999999999998</v>
      </c>
      <c r="S12" s="7">
        <v>2.5499999999999998</v>
      </c>
      <c r="T12" t="s">
        <v>29</v>
      </c>
    </row>
    <row r="13" spans="1:20" x14ac:dyDescent="0.3">
      <c r="A13">
        <v>12</v>
      </c>
      <c r="B13" s="1">
        <v>44927</v>
      </c>
      <c r="C13">
        <v>2023</v>
      </c>
      <c r="D13">
        <v>1</v>
      </c>
      <c r="E13" t="s">
        <v>20</v>
      </c>
      <c r="F13">
        <v>1</v>
      </c>
      <c r="G13" t="s">
        <v>21</v>
      </c>
      <c r="H13" s="2">
        <v>46203.405960648146</v>
      </c>
      <c r="I13">
        <v>7</v>
      </c>
      <c r="J13" t="s">
        <v>22</v>
      </c>
      <c r="K13" s="8">
        <v>2</v>
      </c>
      <c r="L13">
        <v>5</v>
      </c>
      <c r="M13" t="s">
        <v>23</v>
      </c>
      <c r="N13">
        <v>33</v>
      </c>
      <c r="O13" t="s">
        <v>24</v>
      </c>
      <c r="P13" t="s">
        <v>25</v>
      </c>
      <c r="Q13" t="s">
        <v>56</v>
      </c>
      <c r="R13" s="7">
        <v>3.5</v>
      </c>
      <c r="S13" s="7">
        <v>7</v>
      </c>
      <c r="T13" t="s">
        <v>29</v>
      </c>
    </row>
    <row r="14" spans="1:20" x14ac:dyDescent="0.3">
      <c r="A14">
        <v>13</v>
      </c>
      <c r="B14" s="1">
        <v>44927</v>
      </c>
      <c r="C14">
        <v>2023</v>
      </c>
      <c r="D14">
        <v>1</v>
      </c>
      <c r="E14" t="s">
        <v>20</v>
      </c>
      <c r="F14">
        <v>1</v>
      </c>
      <c r="G14" t="s">
        <v>21</v>
      </c>
      <c r="H14" s="2">
        <v>46203.406840277778</v>
      </c>
      <c r="I14">
        <v>7</v>
      </c>
      <c r="J14" t="s">
        <v>22</v>
      </c>
      <c r="K14" s="8">
        <v>1</v>
      </c>
      <c r="L14">
        <v>5</v>
      </c>
      <c r="M14" t="s">
        <v>23</v>
      </c>
      <c r="N14">
        <v>51</v>
      </c>
      <c r="O14" t="s">
        <v>30</v>
      </c>
      <c r="P14" t="s">
        <v>57</v>
      </c>
      <c r="Q14" t="s">
        <v>58</v>
      </c>
      <c r="R14" s="7">
        <v>3</v>
      </c>
      <c r="S14" s="7">
        <v>3</v>
      </c>
      <c r="T14" t="s">
        <v>29</v>
      </c>
    </row>
    <row r="15" spans="1:20" x14ac:dyDescent="0.3">
      <c r="A15">
        <v>14</v>
      </c>
      <c r="B15" s="1">
        <v>44927</v>
      </c>
      <c r="C15">
        <v>2023</v>
      </c>
      <c r="D15">
        <v>1</v>
      </c>
      <c r="E15" t="s">
        <v>20</v>
      </c>
      <c r="F15">
        <v>1</v>
      </c>
      <c r="G15" t="s">
        <v>21</v>
      </c>
      <c r="H15" s="2">
        <v>46203.408553240741</v>
      </c>
      <c r="I15">
        <v>7</v>
      </c>
      <c r="J15" t="s">
        <v>22</v>
      </c>
      <c r="K15" s="8">
        <v>1</v>
      </c>
      <c r="L15">
        <v>5</v>
      </c>
      <c r="M15" t="s">
        <v>23</v>
      </c>
      <c r="N15">
        <v>57</v>
      </c>
      <c r="O15" t="s">
        <v>30</v>
      </c>
      <c r="P15" t="s">
        <v>31</v>
      </c>
      <c r="Q15" t="s">
        <v>32</v>
      </c>
      <c r="R15" s="7">
        <v>3.1</v>
      </c>
      <c r="S15" s="7">
        <v>3.1</v>
      </c>
      <c r="T15" t="s">
        <v>29</v>
      </c>
    </row>
    <row r="16" spans="1:20" x14ac:dyDescent="0.3">
      <c r="A16">
        <v>15</v>
      </c>
      <c r="B16" s="1">
        <v>44927</v>
      </c>
      <c r="C16">
        <v>2023</v>
      </c>
      <c r="D16">
        <v>1</v>
      </c>
      <c r="E16" t="s">
        <v>20</v>
      </c>
      <c r="F16">
        <v>1</v>
      </c>
      <c r="G16" t="s">
        <v>21</v>
      </c>
      <c r="H16" s="2">
        <v>46203.411527777775</v>
      </c>
      <c r="I16">
        <v>7</v>
      </c>
      <c r="J16" t="s">
        <v>22</v>
      </c>
      <c r="K16" s="8">
        <v>2</v>
      </c>
      <c r="L16">
        <v>5</v>
      </c>
      <c r="M16" t="s">
        <v>23</v>
      </c>
      <c r="N16">
        <v>87</v>
      </c>
      <c r="O16" t="s">
        <v>24</v>
      </c>
      <c r="P16" t="s">
        <v>48</v>
      </c>
      <c r="Q16" t="s">
        <v>59</v>
      </c>
      <c r="R16" s="7">
        <v>3</v>
      </c>
      <c r="S16" s="7">
        <v>6</v>
      </c>
      <c r="T16" t="s">
        <v>29</v>
      </c>
    </row>
    <row r="17" spans="1:20" x14ac:dyDescent="0.3">
      <c r="A17">
        <v>16</v>
      </c>
      <c r="B17" s="1">
        <v>44927</v>
      </c>
      <c r="C17">
        <v>2023</v>
      </c>
      <c r="D17">
        <v>1</v>
      </c>
      <c r="E17" t="s">
        <v>20</v>
      </c>
      <c r="F17">
        <v>1</v>
      </c>
      <c r="G17" t="s">
        <v>21</v>
      </c>
      <c r="H17" s="2">
        <v>46203.416643518518</v>
      </c>
      <c r="I17">
        <v>7</v>
      </c>
      <c r="J17" t="s">
        <v>22</v>
      </c>
      <c r="K17" s="8">
        <v>2</v>
      </c>
      <c r="L17">
        <v>5</v>
      </c>
      <c r="M17" t="s">
        <v>23</v>
      </c>
      <c r="N17">
        <v>47</v>
      </c>
      <c r="O17" t="s">
        <v>30</v>
      </c>
      <c r="P17" t="s">
        <v>60</v>
      </c>
      <c r="Q17" t="s">
        <v>61</v>
      </c>
      <c r="R17" s="7">
        <v>3</v>
      </c>
      <c r="S17" s="7">
        <v>6</v>
      </c>
      <c r="T17" t="s">
        <v>29</v>
      </c>
    </row>
    <row r="18" spans="1:20" x14ac:dyDescent="0.3">
      <c r="A18">
        <v>17</v>
      </c>
      <c r="B18" s="1">
        <v>44927</v>
      </c>
      <c r="C18">
        <v>2023</v>
      </c>
      <c r="D18">
        <v>1</v>
      </c>
      <c r="E18" t="s">
        <v>20</v>
      </c>
      <c r="F18">
        <v>1</v>
      </c>
      <c r="G18" t="s">
        <v>21</v>
      </c>
      <c r="H18" s="2">
        <v>46203.416643518518</v>
      </c>
      <c r="I18">
        <v>7</v>
      </c>
      <c r="J18" t="s">
        <v>22</v>
      </c>
      <c r="K18" s="8">
        <v>1</v>
      </c>
      <c r="L18">
        <v>5</v>
      </c>
      <c r="M18" t="s">
        <v>23</v>
      </c>
      <c r="N18">
        <v>79</v>
      </c>
      <c r="O18" t="s">
        <v>43</v>
      </c>
      <c r="P18" t="s">
        <v>44</v>
      </c>
      <c r="Q18" t="s">
        <v>62</v>
      </c>
      <c r="R18" s="7">
        <v>3.75</v>
      </c>
      <c r="S18" s="7">
        <v>3.75</v>
      </c>
      <c r="T18" t="s">
        <v>29</v>
      </c>
    </row>
    <row r="19" spans="1:20" x14ac:dyDescent="0.3">
      <c r="A19">
        <v>18</v>
      </c>
      <c r="B19" s="1">
        <v>44927</v>
      </c>
      <c r="C19">
        <v>2023</v>
      </c>
      <c r="D19">
        <v>1</v>
      </c>
      <c r="E19" t="s">
        <v>20</v>
      </c>
      <c r="F19">
        <v>1</v>
      </c>
      <c r="G19" t="s">
        <v>21</v>
      </c>
      <c r="H19" s="2">
        <v>46203.416875000003</v>
      </c>
      <c r="I19">
        <v>8</v>
      </c>
      <c r="J19" t="s">
        <v>22</v>
      </c>
      <c r="K19" s="8">
        <v>1</v>
      </c>
      <c r="L19">
        <v>8</v>
      </c>
      <c r="M19" t="s">
        <v>64</v>
      </c>
      <c r="N19">
        <v>42</v>
      </c>
      <c r="O19" t="s">
        <v>30</v>
      </c>
      <c r="P19" t="s">
        <v>65</v>
      </c>
      <c r="Q19" t="s">
        <v>66</v>
      </c>
      <c r="R19" s="7">
        <v>2.5</v>
      </c>
      <c r="S19" s="7">
        <v>2.5</v>
      </c>
      <c r="T19" t="s">
        <v>29</v>
      </c>
    </row>
    <row r="20" spans="1:20" x14ac:dyDescent="0.3">
      <c r="A20">
        <v>19</v>
      </c>
      <c r="B20" s="1">
        <v>44927</v>
      </c>
      <c r="C20">
        <v>2023</v>
      </c>
      <c r="D20">
        <v>1</v>
      </c>
      <c r="E20" t="s">
        <v>20</v>
      </c>
      <c r="F20">
        <v>1</v>
      </c>
      <c r="G20" t="s">
        <v>21</v>
      </c>
      <c r="H20" s="2">
        <v>46203.417118055557</v>
      </c>
      <c r="I20">
        <v>8</v>
      </c>
      <c r="J20" t="s">
        <v>22</v>
      </c>
      <c r="K20" s="8">
        <v>2</v>
      </c>
      <c r="L20">
        <v>8</v>
      </c>
      <c r="M20" t="s">
        <v>64</v>
      </c>
      <c r="N20">
        <v>59</v>
      </c>
      <c r="O20" t="s">
        <v>35</v>
      </c>
      <c r="P20" t="s">
        <v>36</v>
      </c>
      <c r="Q20" t="s">
        <v>37</v>
      </c>
      <c r="R20" s="7">
        <v>4.5</v>
      </c>
      <c r="S20" s="7">
        <v>9</v>
      </c>
      <c r="T20" t="s">
        <v>29</v>
      </c>
    </row>
    <row r="21" spans="1:20" x14ac:dyDescent="0.3">
      <c r="A21">
        <v>20</v>
      </c>
      <c r="B21" s="1">
        <v>44927</v>
      </c>
      <c r="C21">
        <v>2023</v>
      </c>
      <c r="D21">
        <v>1</v>
      </c>
      <c r="E21" t="s">
        <v>20</v>
      </c>
      <c r="F21">
        <v>1</v>
      </c>
      <c r="G21" t="s">
        <v>21</v>
      </c>
      <c r="H21" s="2">
        <v>46203.424826388888</v>
      </c>
      <c r="I21">
        <v>8</v>
      </c>
      <c r="J21" t="s">
        <v>22</v>
      </c>
      <c r="K21" s="8">
        <v>1</v>
      </c>
      <c r="L21">
        <v>8</v>
      </c>
      <c r="M21" t="s">
        <v>64</v>
      </c>
      <c r="N21">
        <v>61</v>
      </c>
      <c r="O21" t="s">
        <v>35</v>
      </c>
      <c r="P21" t="s">
        <v>36</v>
      </c>
      <c r="Q21" t="s">
        <v>68</v>
      </c>
      <c r="R21" s="7">
        <v>4.75</v>
      </c>
      <c r="S21" s="7">
        <v>4.75</v>
      </c>
      <c r="T21" t="s">
        <v>29</v>
      </c>
    </row>
    <row r="22" spans="1:20" x14ac:dyDescent="0.3">
      <c r="A22">
        <v>21</v>
      </c>
      <c r="B22" s="1">
        <v>44927</v>
      </c>
      <c r="C22">
        <v>2023</v>
      </c>
      <c r="D22">
        <v>1</v>
      </c>
      <c r="E22" t="s">
        <v>20</v>
      </c>
      <c r="F22">
        <v>1</v>
      </c>
      <c r="G22" t="s">
        <v>21</v>
      </c>
      <c r="H22" s="2">
        <v>46203.428784722222</v>
      </c>
      <c r="I22">
        <v>8</v>
      </c>
      <c r="J22" t="s">
        <v>22</v>
      </c>
      <c r="K22" s="8">
        <v>2</v>
      </c>
      <c r="L22">
        <v>8</v>
      </c>
      <c r="M22" t="s">
        <v>64</v>
      </c>
      <c r="N22">
        <v>33</v>
      </c>
      <c r="O22" t="s">
        <v>24</v>
      </c>
      <c r="P22" t="s">
        <v>25</v>
      </c>
      <c r="Q22" t="s">
        <v>56</v>
      </c>
      <c r="R22" s="7">
        <v>3.5</v>
      </c>
      <c r="S22" s="7">
        <v>7</v>
      </c>
      <c r="T22" t="s">
        <v>29</v>
      </c>
    </row>
    <row r="23" spans="1:20" x14ac:dyDescent="0.3">
      <c r="A23">
        <v>22</v>
      </c>
      <c r="B23" s="1">
        <v>44927</v>
      </c>
      <c r="C23">
        <v>2023</v>
      </c>
      <c r="D23">
        <v>1</v>
      </c>
      <c r="E23" t="s">
        <v>20</v>
      </c>
      <c r="F23">
        <v>1</v>
      </c>
      <c r="G23" t="s">
        <v>21</v>
      </c>
      <c r="H23" s="2">
        <v>46203.433634259258</v>
      </c>
      <c r="I23">
        <v>8</v>
      </c>
      <c r="J23" t="s">
        <v>22</v>
      </c>
      <c r="K23" s="8">
        <v>2</v>
      </c>
      <c r="L23">
        <v>5</v>
      </c>
      <c r="M23" t="s">
        <v>23</v>
      </c>
      <c r="N23">
        <v>56</v>
      </c>
      <c r="O23" t="s">
        <v>30</v>
      </c>
      <c r="P23" t="s">
        <v>31</v>
      </c>
      <c r="Q23" t="s">
        <v>54</v>
      </c>
      <c r="R23" s="7">
        <v>2.5499999999999998</v>
      </c>
      <c r="S23" s="7">
        <v>5.0999999999999996</v>
      </c>
      <c r="T23" t="s">
        <v>29</v>
      </c>
    </row>
    <row r="24" spans="1:20" x14ac:dyDescent="0.3">
      <c r="A24">
        <v>23</v>
      </c>
      <c r="B24" s="1">
        <v>44927</v>
      </c>
      <c r="C24">
        <v>2023</v>
      </c>
      <c r="D24">
        <v>1</v>
      </c>
      <c r="E24" t="s">
        <v>20</v>
      </c>
      <c r="F24">
        <v>1</v>
      </c>
      <c r="G24" t="s">
        <v>21</v>
      </c>
      <c r="H24" s="2">
        <v>46203.433634259258</v>
      </c>
      <c r="I24">
        <v>8</v>
      </c>
      <c r="J24" t="s">
        <v>22</v>
      </c>
      <c r="K24" s="8">
        <v>1</v>
      </c>
      <c r="L24">
        <v>5</v>
      </c>
      <c r="M24" t="s">
        <v>23</v>
      </c>
      <c r="N24">
        <v>69</v>
      </c>
      <c r="O24" t="s">
        <v>43</v>
      </c>
      <c r="P24" t="s">
        <v>71</v>
      </c>
      <c r="Q24" t="s">
        <v>72</v>
      </c>
      <c r="R24" s="7">
        <v>3.25</v>
      </c>
      <c r="S24" s="7">
        <v>3.25</v>
      </c>
      <c r="T24" t="s">
        <v>29</v>
      </c>
    </row>
    <row r="25" spans="1:20" x14ac:dyDescent="0.3">
      <c r="A25">
        <v>24</v>
      </c>
      <c r="B25" s="1">
        <v>44927</v>
      </c>
      <c r="C25">
        <v>2023</v>
      </c>
      <c r="D25">
        <v>1</v>
      </c>
      <c r="E25" t="s">
        <v>20</v>
      </c>
      <c r="F25">
        <v>1</v>
      </c>
      <c r="G25" t="s">
        <v>21</v>
      </c>
      <c r="H25" s="2">
        <v>46203.437245370369</v>
      </c>
      <c r="I25">
        <v>8</v>
      </c>
      <c r="J25" t="s">
        <v>22</v>
      </c>
      <c r="K25" s="8">
        <v>1</v>
      </c>
      <c r="L25">
        <v>8</v>
      </c>
      <c r="M25" t="s">
        <v>64</v>
      </c>
      <c r="N25">
        <v>56</v>
      </c>
      <c r="O25" t="s">
        <v>30</v>
      </c>
      <c r="P25" t="s">
        <v>31</v>
      </c>
      <c r="Q25" t="s">
        <v>54</v>
      </c>
      <c r="R25" s="7">
        <v>2.5499999999999998</v>
      </c>
      <c r="S25" s="7">
        <v>2.5499999999999998</v>
      </c>
      <c r="T25" t="s">
        <v>29</v>
      </c>
    </row>
    <row r="26" spans="1:20" x14ac:dyDescent="0.3">
      <c r="A26">
        <v>25</v>
      </c>
      <c r="B26" s="1">
        <v>44927</v>
      </c>
      <c r="C26">
        <v>2023</v>
      </c>
      <c r="D26">
        <v>1</v>
      </c>
      <c r="E26" t="s">
        <v>20</v>
      </c>
      <c r="F26">
        <v>1</v>
      </c>
      <c r="G26" t="s">
        <v>21</v>
      </c>
      <c r="H26" s="2">
        <v>46203.438460648147</v>
      </c>
      <c r="I26">
        <v>8</v>
      </c>
      <c r="J26" t="s">
        <v>22</v>
      </c>
      <c r="K26" s="8">
        <v>1</v>
      </c>
      <c r="L26">
        <v>8</v>
      </c>
      <c r="M26" t="s">
        <v>64</v>
      </c>
      <c r="N26">
        <v>40</v>
      </c>
      <c r="O26" t="s">
        <v>24</v>
      </c>
      <c r="P26" t="s">
        <v>48</v>
      </c>
      <c r="Q26" t="s">
        <v>74</v>
      </c>
      <c r="R26" s="7">
        <v>3.75</v>
      </c>
      <c r="S26" s="7">
        <v>3.75</v>
      </c>
      <c r="T26" t="s">
        <v>29</v>
      </c>
    </row>
    <row r="27" spans="1:20" x14ac:dyDescent="0.3">
      <c r="A27">
        <v>26</v>
      </c>
      <c r="B27" s="1">
        <v>44927</v>
      </c>
      <c r="C27">
        <v>2023</v>
      </c>
      <c r="D27">
        <v>1</v>
      </c>
      <c r="E27" t="s">
        <v>20</v>
      </c>
      <c r="F27">
        <v>1</v>
      </c>
      <c r="G27" t="s">
        <v>21</v>
      </c>
      <c r="H27" s="2">
        <v>46203.439675925925</v>
      </c>
      <c r="I27">
        <v>8</v>
      </c>
      <c r="J27" t="s">
        <v>22</v>
      </c>
      <c r="K27" s="8">
        <v>1</v>
      </c>
      <c r="L27">
        <v>5</v>
      </c>
      <c r="M27" t="s">
        <v>23</v>
      </c>
      <c r="N27">
        <v>43</v>
      </c>
      <c r="O27" t="s">
        <v>30</v>
      </c>
      <c r="P27" t="s">
        <v>65</v>
      </c>
      <c r="Q27" t="s">
        <v>75</v>
      </c>
      <c r="R27" s="7">
        <v>3</v>
      </c>
      <c r="S27" s="7">
        <v>3</v>
      </c>
      <c r="T27" t="s">
        <v>29</v>
      </c>
    </row>
    <row r="28" spans="1:20" x14ac:dyDescent="0.3">
      <c r="A28">
        <v>27</v>
      </c>
      <c r="B28" s="1">
        <v>44927</v>
      </c>
      <c r="C28">
        <v>2023</v>
      </c>
      <c r="D28">
        <v>1</v>
      </c>
      <c r="E28" t="s">
        <v>20</v>
      </c>
      <c r="F28">
        <v>1</v>
      </c>
      <c r="G28" t="s">
        <v>21</v>
      </c>
      <c r="H28" s="2">
        <v>46203.439675925925</v>
      </c>
      <c r="I28">
        <v>8</v>
      </c>
      <c r="J28" t="s">
        <v>22</v>
      </c>
      <c r="K28" s="8">
        <v>1</v>
      </c>
      <c r="L28">
        <v>5</v>
      </c>
      <c r="M28" t="s">
        <v>23</v>
      </c>
      <c r="N28">
        <v>76</v>
      </c>
      <c r="O28" t="s">
        <v>43</v>
      </c>
      <c r="P28" t="s">
        <v>71</v>
      </c>
      <c r="Q28" t="s">
        <v>76</v>
      </c>
      <c r="R28" s="7">
        <v>3.5</v>
      </c>
      <c r="S28" s="7">
        <v>3.5</v>
      </c>
      <c r="T28" t="s">
        <v>29</v>
      </c>
    </row>
    <row r="29" spans="1:20" x14ac:dyDescent="0.3">
      <c r="A29">
        <v>28</v>
      </c>
      <c r="B29" s="1">
        <v>44927</v>
      </c>
      <c r="C29">
        <v>2023</v>
      </c>
      <c r="D29">
        <v>1</v>
      </c>
      <c r="E29" t="s">
        <v>20</v>
      </c>
      <c r="F29">
        <v>1</v>
      </c>
      <c r="G29" t="s">
        <v>21</v>
      </c>
      <c r="H29" s="2">
        <v>46203.441006944442</v>
      </c>
      <c r="I29">
        <v>8</v>
      </c>
      <c r="J29" t="s">
        <v>22</v>
      </c>
      <c r="K29" s="8">
        <v>2</v>
      </c>
      <c r="L29">
        <v>5</v>
      </c>
      <c r="M29" t="s">
        <v>23</v>
      </c>
      <c r="N29">
        <v>45</v>
      </c>
      <c r="O29" t="s">
        <v>30</v>
      </c>
      <c r="P29" t="s">
        <v>65</v>
      </c>
      <c r="Q29" t="s">
        <v>77</v>
      </c>
      <c r="R29" s="7">
        <v>3</v>
      </c>
      <c r="S29" s="7">
        <v>6</v>
      </c>
      <c r="T29" t="s">
        <v>29</v>
      </c>
    </row>
    <row r="30" spans="1:20" x14ac:dyDescent="0.3">
      <c r="A30">
        <v>29</v>
      </c>
      <c r="B30" s="1">
        <v>44927</v>
      </c>
      <c r="C30">
        <v>2023</v>
      </c>
      <c r="D30">
        <v>1</v>
      </c>
      <c r="E30" t="s">
        <v>20</v>
      </c>
      <c r="F30">
        <v>1</v>
      </c>
      <c r="G30" t="s">
        <v>21</v>
      </c>
      <c r="H30" s="2">
        <v>46203.441006944442</v>
      </c>
      <c r="I30">
        <v>8</v>
      </c>
      <c r="J30" t="s">
        <v>22</v>
      </c>
      <c r="K30" s="8">
        <v>1</v>
      </c>
      <c r="L30">
        <v>5</v>
      </c>
      <c r="M30" t="s">
        <v>23</v>
      </c>
      <c r="N30">
        <v>71</v>
      </c>
      <c r="O30" t="s">
        <v>43</v>
      </c>
      <c r="P30" t="s">
        <v>78</v>
      </c>
      <c r="Q30" t="s">
        <v>79</v>
      </c>
      <c r="R30" s="7">
        <v>3.75</v>
      </c>
      <c r="S30" s="7">
        <v>3.75</v>
      </c>
      <c r="T30" t="s">
        <v>29</v>
      </c>
    </row>
    <row r="31" spans="1:20" x14ac:dyDescent="0.3">
      <c r="A31">
        <v>30</v>
      </c>
      <c r="B31" s="1">
        <v>44927</v>
      </c>
      <c r="C31">
        <v>2023</v>
      </c>
      <c r="D31">
        <v>1</v>
      </c>
      <c r="E31" t="s">
        <v>20</v>
      </c>
      <c r="F31">
        <v>1</v>
      </c>
      <c r="G31" t="s">
        <v>21</v>
      </c>
      <c r="H31" s="2">
        <v>46203.445798611108</v>
      </c>
      <c r="I31">
        <v>8</v>
      </c>
      <c r="J31" t="s">
        <v>22</v>
      </c>
      <c r="K31" s="8">
        <v>2</v>
      </c>
      <c r="L31">
        <v>8</v>
      </c>
      <c r="M31" t="s">
        <v>64</v>
      </c>
      <c r="N31">
        <v>40</v>
      </c>
      <c r="O31" t="s">
        <v>24</v>
      </c>
      <c r="P31" t="s">
        <v>48</v>
      </c>
      <c r="Q31" t="s">
        <v>74</v>
      </c>
      <c r="R31" s="7">
        <v>3.75</v>
      </c>
      <c r="S31" s="7">
        <v>7.5</v>
      </c>
      <c r="T31" t="s">
        <v>29</v>
      </c>
    </row>
    <row r="32" spans="1:20" x14ac:dyDescent="0.3">
      <c r="A32">
        <v>31</v>
      </c>
      <c r="B32" s="1">
        <v>44927</v>
      </c>
      <c r="C32">
        <v>2023</v>
      </c>
      <c r="D32">
        <v>1</v>
      </c>
      <c r="E32" t="s">
        <v>20</v>
      </c>
      <c r="F32">
        <v>1</v>
      </c>
      <c r="G32" t="s">
        <v>21</v>
      </c>
      <c r="H32" s="2">
        <v>46203.4528125</v>
      </c>
      <c r="I32">
        <v>8</v>
      </c>
      <c r="J32" t="s">
        <v>22</v>
      </c>
      <c r="K32" s="8">
        <v>1</v>
      </c>
      <c r="L32">
        <v>8</v>
      </c>
      <c r="M32" t="s">
        <v>64</v>
      </c>
      <c r="N32">
        <v>38</v>
      </c>
      <c r="O32" t="s">
        <v>24</v>
      </c>
      <c r="P32" t="s">
        <v>48</v>
      </c>
      <c r="Q32" t="s">
        <v>81</v>
      </c>
      <c r="R32" s="7">
        <v>3.75</v>
      </c>
      <c r="S32" s="7">
        <v>3.75</v>
      </c>
      <c r="T32" t="s">
        <v>29</v>
      </c>
    </row>
    <row r="33" spans="1:20" x14ac:dyDescent="0.3">
      <c r="A33">
        <v>32</v>
      </c>
      <c r="B33" s="1">
        <v>44927</v>
      </c>
      <c r="C33">
        <v>2023</v>
      </c>
      <c r="D33">
        <v>1</v>
      </c>
      <c r="E33" t="s">
        <v>20</v>
      </c>
      <c r="F33">
        <v>1</v>
      </c>
      <c r="G33" t="s">
        <v>21</v>
      </c>
      <c r="H33" s="2">
        <v>46203.453148148146</v>
      </c>
      <c r="I33">
        <v>8</v>
      </c>
      <c r="J33" t="s">
        <v>22</v>
      </c>
      <c r="K33" s="8">
        <v>1</v>
      </c>
      <c r="L33">
        <v>5</v>
      </c>
      <c r="M33" t="s">
        <v>23</v>
      </c>
      <c r="N33">
        <v>26</v>
      </c>
      <c r="O33" t="s">
        <v>24</v>
      </c>
      <c r="P33" t="s">
        <v>82</v>
      </c>
      <c r="Q33" t="s">
        <v>83</v>
      </c>
      <c r="R33" s="7">
        <v>3</v>
      </c>
      <c r="S33" s="7">
        <v>3</v>
      </c>
      <c r="T33" t="s">
        <v>29</v>
      </c>
    </row>
    <row r="34" spans="1:20" x14ac:dyDescent="0.3">
      <c r="A34">
        <v>33</v>
      </c>
      <c r="B34" s="1">
        <v>44927</v>
      </c>
      <c r="C34">
        <v>2023</v>
      </c>
      <c r="D34">
        <v>1</v>
      </c>
      <c r="E34" t="s">
        <v>20</v>
      </c>
      <c r="F34">
        <v>1</v>
      </c>
      <c r="G34" t="s">
        <v>21</v>
      </c>
      <c r="H34" s="2">
        <v>46203.454548611109</v>
      </c>
      <c r="I34">
        <v>8</v>
      </c>
      <c r="J34" t="s">
        <v>22</v>
      </c>
      <c r="K34" s="8">
        <v>2</v>
      </c>
      <c r="L34">
        <v>5</v>
      </c>
      <c r="M34" t="s">
        <v>23</v>
      </c>
      <c r="N34">
        <v>27</v>
      </c>
      <c r="O34" t="s">
        <v>24</v>
      </c>
      <c r="P34" t="s">
        <v>82</v>
      </c>
      <c r="Q34" t="s">
        <v>84</v>
      </c>
      <c r="R34" s="7">
        <v>3.5</v>
      </c>
      <c r="S34" s="7">
        <v>7</v>
      </c>
      <c r="T34" t="s">
        <v>29</v>
      </c>
    </row>
    <row r="35" spans="1:20" x14ac:dyDescent="0.3">
      <c r="A35">
        <v>34</v>
      </c>
      <c r="B35" s="1">
        <v>44927</v>
      </c>
      <c r="C35">
        <v>2023</v>
      </c>
      <c r="D35">
        <v>1</v>
      </c>
      <c r="E35" t="s">
        <v>20</v>
      </c>
      <c r="F35">
        <v>1</v>
      </c>
      <c r="G35" t="s">
        <v>21</v>
      </c>
      <c r="H35" s="2">
        <v>46203.455868055556</v>
      </c>
      <c r="I35">
        <v>8</v>
      </c>
      <c r="J35" t="s">
        <v>22</v>
      </c>
      <c r="K35" s="8">
        <v>2</v>
      </c>
      <c r="L35">
        <v>5</v>
      </c>
      <c r="M35" t="s">
        <v>23</v>
      </c>
      <c r="N35">
        <v>29</v>
      </c>
      <c r="O35" t="s">
        <v>24</v>
      </c>
      <c r="P35" t="s">
        <v>25</v>
      </c>
      <c r="Q35" t="s">
        <v>85</v>
      </c>
      <c r="R35" s="7">
        <v>2.5</v>
      </c>
      <c r="S35" s="7">
        <v>5</v>
      </c>
      <c r="T35" t="s">
        <v>29</v>
      </c>
    </row>
    <row r="36" spans="1:20" x14ac:dyDescent="0.3">
      <c r="A36">
        <v>35</v>
      </c>
      <c r="B36" s="1">
        <v>44927</v>
      </c>
      <c r="C36">
        <v>2023</v>
      </c>
      <c r="D36">
        <v>1</v>
      </c>
      <c r="E36" t="s">
        <v>20</v>
      </c>
      <c r="F36">
        <v>1</v>
      </c>
      <c r="G36" t="s">
        <v>21</v>
      </c>
      <c r="H36" s="2">
        <v>46203.456782407404</v>
      </c>
      <c r="I36">
        <v>8</v>
      </c>
      <c r="J36" t="s">
        <v>22</v>
      </c>
      <c r="K36" s="8">
        <v>1</v>
      </c>
      <c r="L36">
        <v>8</v>
      </c>
      <c r="M36" t="s">
        <v>64</v>
      </c>
      <c r="N36">
        <v>54</v>
      </c>
      <c r="O36" t="s">
        <v>30</v>
      </c>
      <c r="P36" t="s">
        <v>31</v>
      </c>
      <c r="Q36" t="s">
        <v>87</v>
      </c>
      <c r="R36" s="7">
        <v>2.5</v>
      </c>
      <c r="S36" s="7">
        <v>2.5</v>
      </c>
      <c r="T36" t="s">
        <v>29</v>
      </c>
    </row>
    <row r="37" spans="1:20" x14ac:dyDescent="0.3">
      <c r="A37">
        <v>36</v>
      </c>
      <c r="B37" s="1">
        <v>44927</v>
      </c>
      <c r="C37">
        <v>2023</v>
      </c>
      <c r="D37">
        <v>1</v>
      </c>
      <c r="E37" t="s">
        <v>20</v>
      </c>
      <c r="F37">
        <v>1</v>
      </c>
      <c r="G37" t="s">
        <v>21</v>
      </c>
      <c r="H37" s="2">
        <v>46203.45758101852</v>
      </c>
      <c r="I37">
        <v>8</v>
      </c>
      <c r="J37" t="s">
        <v>22</v>
      </c>
      <c r="K37" s="8">
        <v>1</v>
      </c>
      <c r="L37">
        <v>5</v>
      </c>
      <c r="M37" t="s">
        <v>23</v>
      </c>
      <c r="N37">
        <v>26</v>
      </c>
      <c r="O37" t="s">
        <v>24</v>
      </c>
      <c r="P37" t="s">
        <v>82</v>
      </c>
      <c r="Q37" t="s">
        <v>83</v>
      </c>
      <c r="R37" s="7">
        <v>3</v>
      </c>
      <c r="S37" s="7">
        <v>3</v>
      </c>
      <c r="T37" t="s">
        <v>29</v>
      </c>
    </row>
    <row r="38" spans="1:20" x14ac:dyDescent="0.3">
      <c r="A38">
        <v>37</v>
      </c>
      <c r="B38" s="1">
        <v>44927</v>
      </c>
      <c r="C38">
        <v>2023</v>
      </c>
      <c r="D38">
        <v>1</v>
      </c>
      <c r="E38" t="s">
        <v>20</v>
      </c>
      <c r="F38">
        <v>1</v>
      </c>
      <c r="G38" t="s">
        <v>21</v>
      </c>
      <c r="H38" s="2">
        <v>46203.458472222221</v>
      </c>
      <c r="I38">
        <v>9</v>
      </c>
      <c r="J38" t="s">
        <v>22</v>
      </c>
      <c r="K38" s="8">
        <v>1</v>
      </c>
      <c r="L38">
        <v>5</v>
      </c>
      <c r="M38" t="s">
        <v>23</v>
      </c>
      <c r="N38">
        <v>55</v>
      </c>
      <c r="O38" t="s">
        <v>30</v>
      </c>
      <c r="P38" t="s">
        <v>31</v>
      </c>
      <c r="Q38" t="s">
        <v>88</v>
      </c>
      <c r="R38" s="7">
        <v>4</v>
      </c>
      <c r="S38" s="7">
        <v>4</v>
      </c>
      <c r="T38" t="s">
        <v>29</v>
      </c>
    </row>
    <row r="39" spans="1:20" x14ac:dyDescent="0.3">
      <c r="A39">
        <v>38</v>
      </c>
      <c r="B39" s="1">
        <v>44927</v>
      </c>
      <c r="C39">
        <v>2023</v>
      </c>
      <c r="D39">
        <v>1</v>
      </c>
      <c r="E39" t="s">
        <v>20</v>
      </c>
      <c r="F39">
        <v>1</v>
      </c>
      <c r="G39" t="s">
        <v>21</v>
      </c>
      <c r="H39" s="2">
        <v>46203.458611111113</v>
      </c>
      <c r="I39">
        <v>9</v>
      </c>
      <c r="J39" t="s">
        <v>22</v>
      </c>
      <c r="K39" s="8">
        <v>2</v>
      </c>
      <c r="L39">
        <v>8</v>
      </c>
      <c r="M39" t="s">
        <v>64</v>
      </c>
      <c r="N39">
        <v>40</v>
      </c>
      <c r="O39" t="s">
        <v>24</v>
      </c>
      <c r="P39" t="s">
        <v>48</v>
      </c>
      <c r="Q39" t="s">
        <v>74</v>
      </c>
      <c r="R39" s="7">
        <v>3.75</v>
      </c>
      <c r="S39" s="7">
        <v>7.5</v>
      </c>
      <c r="T39" t="s">
        <v>29</v>
      </c>
    </row>
    <row r="40" spans="1:20" x14ac:dyDescent="0.3">
      <c r="A40">
        <v>39</v>
      </c>
      <c r="B40" s="1">
        <v>44927</v>
      </c>
      <c r="C40">
        <v>2023</v>
      </c>
      <c r="D40">
        <v>1</v>
      </c>
      <c r="E40" t="s">
        <v>20</v>
      </c>
      <c r="F40">
        <v>1</v>
      </c>
      <c r="G40" t="s">
        <v>21</v>
      </c>
      <c r="H40" s="2">
        <v>46203.46334490741</v>
      </c>
      <c r="I40">
        <v>9</v>
      </c>
      <c r="J40" t="s">
        <v>22</v>
      </c>
      <c r="K40" s="8">
        <v>1</v>
      </c>
      <c r="L40">
        <v>8</v>
      </c>
      <c r="M40" t="s">
        <v>64</v>
      </c>
      <c r="N40">
        <v>45</v>
      </c>
      <c r="O40" t="s">
        <v>30</v>
      </c>
      <c r="P40" t="s">
        <v>65</v>
      </c>
      <c r="Q40" t="s">
        <v>77</v>
      </c>
      <c r="R40" s="7">
        <v>3</v>
      </c>
      <c r="S40" s="7">
        <v>3</v>
      </c>
      <c r="T40" t="s">
        <v>29</v>
      </c>
    </row>
    <row r="41" spans="1:20" x14ac:dyDescent="0.3">
      <c r="A41">
        <v>40</v>
      </c>
      <c r="B41" s="1">
        <v>44927</v>
      </c>
      <c r="C41">
        <v>2023</v>
      </c>
      <c r="D41">
        <v>1</v>
      </c>
      <c r="E41" t="s">
        <v>20</v>
      </c>
      <c r="F41">
        <v>1</v>
      </c>
      <c r="G41" t="s">
        <v>21</v>
      </c>
      <c r="H41" s="2">
        <v>46203.463993055557</v>
      </c>
      <c r="I41">
        <v>9</v>
      </c>
      <c r="J41" t="s">
        <v>22</v>
      </c>
      <c r="K41" s="8">
        <v>2</v>
      </c>
      <c r="L41">
        <v>8</v>
      </c>
      <c r="M41" t="s">
        <v>64</v>
      </c>
      <c r="N41">
        <v>45</v>
      </c>
      <c r="O41" t="s">
        <v>30</v>
      </c>
      <c r="P41" t="s">
        <v>65</v>
      </c>
      <c r="Q41" t="s">
        <v>77</v>
      </c>
      <c r="R41" s="7">
        <v>3</v>
      </c>
      <c r="S41" s="7">
        <v>6</v>
      </c>
      <c r="T41" t="s">
        <v>29</v>
      </c>
    </row>
    <row r="42" spans="1:20" x14ac:dyDescent="0.3">
      <c r="A42">
        <v>41</v>
      </c>
      <c r="B42" s="1">
        <v>44927</v>
      </c>
      <c r="C42">
        <v>2023</v>
      </c>
      <c r="D42">
        <v>1</v>
      </c>
      <c r="E42" t="s">
        <v>20</v>
      </c>
      <c r="F42">
        <v>1</v>
      </c>
      <c r="G42" t="s">
        <v>21</v>
      </c>
      <c r="H42" s="2">
        <v>46203.464039351849</v>
      </c>
      <c r="I42">
        <v>9</v>
      </c>
      <c r="J42" t="s">
        <v>22</v>
      </c>
      <c r="K42" s="8">
        <v>1</v>
      </c>
      <c r="L42">
        <v>8</v>
      </c>
      <c r="M42" t="s">
        <v>64</v>
      </c>
      <c r="N42">
        <v>24</v>
      </c>
      <c r="O42" t="s">
        <v>24</v>
      </c>
      <c r="P42" t="s">
        <v>40</v>
      </c>
      <c r="Q42" t="s">
        <v>89</v>
      </c>
      <c r="R42" s="7">
        <v>3</v>
      </c>
      <c r="S42" s="7">
        <v>3</v>
      </c>
      <c r="T42" t="s">
        <v>29</v>
      </c>
    </row>
    <row r="43" spans="1:20" x14ac:dyDescent="0.3">
      <c r="A43">
        <v>42</v>
      </c>
      <c r="B43" s="1">
        <v>44927</v>
      </c>
      <c r="C43">
        <v>2023</v>
      </c>
      <c r="D43">
        <v>1</v>
      </c>
      <c r="E43" t="s">
        <v>20</v>
      </c>
      <c r="F43">
        <v>1</v>
      </c>
      <c r="G43" t="s">
        <v>21</v>
      </c>
      <c r="H43" s="2">
        <v>46203.465624999997</v>
      </c>
      <c r="I43">
        <v>9</v>
      </c>
      <c r="J43" t="s">
        <v>22</v>
      </c>
      <c r="K43" s="8">
        <v>2</v>
      </c>
      <c r="L43">
        <v>5</v>
      </c>
      <c r="M43" t="s">
        <v>23</v>
      </c>
      <c r="N43">
        <v>60</v>
      </c>
      <c r="O43" t="s">
        <v>35</v>
      </c>
      <c r="P43" t="s">
        <v>36</v>
      </c>
      <c r="Q43" t="s">
        <v>90</v>
      </c>
      <c r="R43" s="7">
        <v>3.75</v>
      </c>
      <c r="S43" s="7">
        <v>7.5</v>
      </c>
      <c r="T43" t="s">
        <v>29</v>
      </c>
    </row>
    <row r="44" spans="1:20" x14ac:dyDescent="0.3">
      <c r="A44">
        <v>43</v>
      </c>
      <c r="B44" s="1">
        <v>44927</v>
      </c>
      <c r="C44">
        <v>2023</v>
      </c>
      <c r="D44">
        <v>1</v>
      </c>
      <c r="E44" t="s">
        <v>20</v>
      </c>
      <c r="F44">
        <v>1</v>
      </c>
      <c r="G44" t="s">
        <v>21</v>
      </c>
      <c r="H44" s="2">
        <v>46203.465624999997</v>
      </c>
      <c r="I44">
        <v>9</v>
      </c>
      <c r="J44" t="s">
        <v>22</v>
      </c>
      <c r="K44" s="8">
        <v>1</v>
      </c>
      <c r="L44">
        <v>5</v>
      </c>
      <c r="M44" t="s">
        <v>23</v>
      </c>
      <c r="N44">
        <v>78</v>
      </c>
      <c r="O44" t="s">
        <v>43</v>
      </c>
      <c r="P44" t="s">
        <v>44</v>
      </c>
      <c r="Q44" t="s">
        <v>91</v>
      </c>
      <c r="R44" s="7">
        <v>4.5</v>
      </c>
      <c r="S44" s="7">
        <v>4.5</v>
      </c>
      <c r="T44" t="s">
        <v>29</v>
      </c>
    </row>
    <row r="45" spans="1:20" x14ac:dyDescent="0.3">
      <c r="A45">
        <v>44</v>
      </c>
      <c r="B45" s="1">
        <v>44927</v>
      </c>
      <c r="C45">
        <v>2023</v>
      </c>
      <c r="D45">
        <v>1</v>
      </c>
      <c r="E45" t="s">
        <v>20</v>
      </c>
      <c r="F45">
        <v>1</v>
      </c>
      <c r="G45" t="s">
        <v>21</v>
      </c>
      <c r="H45" s="2">
        <v>46203.466041666667</v>
      </c>
      <c r="I45">
        <v>9</v>
      </c>
      <c r="J45" t="s">
        <v>22</v>
      </c>
      <c r="K45" s="8">
        <v>1</v>
      </c>
      <c r="L45">
        <v>5</v>
      </c>
      <c r="M45" t="s">
        <v>23</v>
      </c>
      <c r="N45">
        <v>56</v>
      </c>
      <c r="O45" t="s">
        <v>30</v>
      </c>
      <c r="P45" t="s">
        <v>31</v>
      </c>
      <c r="Q45" t="s">
        <v>54</v>
      </c>
      <c r="R45" s="7">
        <v>2.5499999999999998</v>
      </c>
      <c r="S45" s="7">
        <v>2.5499999999999998</v>
      </c>
      <c r="T45" t="s">
        <v>29</v>
      </c>
    </row>
    <row r="46" spans="1:20" x14ac:dyDescent="0.3">
      <c r="A46">
        <v>45</v>
      </c>
      <c r="B46" s="1">
        <v>44927</v>
      </c>
      <c r="C46">
        <v>2023</v>
      </c>
      <c r="D46">
        <v>1</v>
      </c>
      <c r="E46" t="s">
        <v>20</v>
      </c>
      <c r="F46">
        <v>1</v>
      </c>
      <c r="G46" t="s">
        <v>21</v>
      </c>
      <c r="H46" s="2">
        <v>46203.466041666667</v>
      </c>
      <c r="I46">
        <v>9</v>
      </c>
      <c r="J46" t="s">
        <v>22</v>
      </c>
      <c r="K46" s="8">
        <v>1</v>
      </c>
      <c r="L46">
        <v>5</v>
      </c>
      <c r="M46" t="s">
        <v>23</v>
      </c>
      <c r="N46">
        <v>77</v>
      </c>
      <c r="O46" t="s">
        <v>43</v>
      </c>
      <c r="P46" t="s">
        <v>44</v>
      </c>
      <c r="Q46" t="s">
        <v>45</v>
      </c>
      <c r="R46" s="7">
        <v>3</v>
      </c>
      <c r="S46" s="7">
        <v>3</v>
      </c>
      <c r="T46" t="s">
        <v>29</v>
      </c>
    </row>
    <row r="47" spans="1:20" x14ac:dyDescent="0.3">
      <c r="A47">
        <v>46</v>
      </c>
      <c r="B47" s="1">
        <v>44927</v>
      </c>
      <c r="C47">
        <v>2023</v>
      </c>
      <c r="D47">
        <v>1</v>
      </c>
      <c r="E47" t="s">
        <v>20</v>
      </c>
      <c r="F47">
        <v>1</v>
      </c>
      <c r="G47" t="s">
        <v>21</v>
      </c>
      <c r="H47" s="2">
        <v>46203.467372685183</v>
      </c>
      <c r="I47">
        <v>9</v>
      </c>
      <c r="J47" t="s">
        <v>22</v>
      </c>
      <c r="K47" s="8">
        <v>1</v>
      </c>
      <c r="L47">
        <v>5</v>
      </c>
      <c r="M47" t="s">
        <v>23</v>
      </c>
      <c r="N47">
        <v>44</v>
      </c>
      <c r="O47" t="s">
        <v>30</v>
      </c>
      <c r="P47" t="s">
        <v>65</v>
      </c>
      <c r="Q47" t="s">
        <v>92</v>
      </c>
      <c r="R47" s="7">
        <v>2.5</v>
      </c>
      <c r="S47" s="7">
        <v>2.5</v>
      </c>
      <c r="T47" t="s">
        <v>29</v>
      </c>
    </row>
    <row r="48" spans="1:20" x14ac:dyDescent="0.3">
      <c r="A48">
        <v>47</v>
      </c>
      <c r="B48" s="1">
        <v>44927</v>
      </c>
      <c r="C48">
        <v>2023</v>
      </c>
      <c r="D48">
        <v>1</v>
      </c>
      <c r="E48" t="s">
        <v>20</v>
      </c>
      <c r="F48">
        <v>1</v>
      </c>
      <c r="G48" t="s">
        <v>21</v>
      </c>
      <c r="H48" s="2">
        <v>46203.467534722222</v>
      </c>
      <c r="I48">
        <v>9</v>
      </c>
      <c r="J48" t="s">
        <v>22</v>
      </c>
      <c r="K48" s="8">
        <v>2</v>
      </c>
      <c r="L48">
        <v>5</v>
      </c>
      <c r="M48" t="s">
        <v>23</v>
      </c>
      <c r="N48">
        <v>56</v>
      </c>
      <c r="O48" t="s">
        <v>30</v>
      </c>
      <c r="P48" t="s">
        <v>31</v>
      </c>
      <c r="Q48" t="s">
        <v>54</v>
      </c>
      <c r="R48" s="7">
        <v>2.5499999999999998</v>
      </c>
      <c r="S48" s="7">
        <v>5.0999999999999996</v>
      </c>
      <c r="T48" t="s">
        <v>29</v>
      </c>
    </row>
    <row r="49" spans="1:20" x14ac:dyDescent="0.3">
      <c r="A49">
        <v>48</v>
      </c>
      <c r="B49" s="1">
        <v>44927</v>
      </c>
      <c r="C49">
        <v>2023</v>
      </c>
      <c r="D49">
        <v>1</v>
      </c>
      <c r="E49" t="s">
        <v>20</v>
      </c>
      <c r="F49">
        <v>1</v>
      </c>
      <c r="G49" t="s">
        <v>21</v>
      </c>
      <c r="H49" s="2">
        <v>46203.468240740738</v>
      </c>
      <c r="I49">
        <v>9</v>
      </c>
      <c r="J49" t="s">
        <v>22</v>
      </c>
      <c r="K49" s="8">
        <v>1</v>
      </c>
      <c r="L49">
        <v>5</v>
      </c>
      <c r="M49" t="s">
        <v>23</v>
      </c>
      <c r="N49">
        <v>48</v>
      </c>
      <c r="O49" t="s">
        <v>30</v>
      </c>
      <c r="P49" t="s">
        <v>57</v>
      </c>
      <c r="Q49" t="s">
        <v>93</v>
      </c>
      <c r="R49" s="7">
        <v>2.5</v>
      </c>
      <c r="S49" s="7">
        <v>2.5</v>
      </c>
      <c r="T49" t="s">
        <v>29</v>
      </c>
    </row>
    <row r="50" spans="1:20" x14ac:dyDescent="0.3">
      <c r="A50">
        <v>49</v>
      </c>
      <c r="B50" s="1">
        <v>44927</v>
      </c>
      <c r="C50">
        <v>2023</v>
      </c>
      <c r="D50">
        <v>1</v>
      </c>
      <c r="E50" t="s">
        <v>20</v>
      </c>
      <c r="F50">
        <v>1</v>
      </c>
      <c r="G50" t="s">
        <v>21</v>
      </c>
      <c r="H50" s="2">
        <v>46203.468252314815</v>
      </c>
      <c r="I50">
        <v>9</v>
      </c>
      <c r="J50" t="s">
        <v>22</v>
      </c>
      <c r="K50" s="8">
        <v>1</v>
      </c>
      <c r="L50">
        <v>8</v>
      </c>
      <c r="M50" t="s">
        <v>64</v>
      </c>
      <c r="N50">
        <v>23</v>
      </c>
      <c r="O50" t="s">
        <v>24</v>
      </c>
      <c r="P50" t="s">
        <v>40</v>
      </c>
      <c r="Q50" t="s">
        <v>94</v>
      </c>
      <c r="R50" s="7">
        <v>2.5</v>
      </c>
      <c r="S50" s="7">
        <v>2.5</v>
      </c>
      <c r="T50" t="s">
        <v>29</v>
      </c>
    </row>
    <row r="51" spans="1:20" x14ac:dyDescent="0.3">
      <c r="A51">
        <v>50</v>
      </c>
      <c r="B51" s="1">
        <v>44927</v>
      </c>
      <c r="C51">
        <v>2023</v>
      </c>
      <c r="D51">
        <v>1</v>
      </c>
      <c r="E51" t="s">
        <v>20</v>
      </c>
      <c r="F51">
        <v>1</v>
      </c>
      <c r="G51" t="s">
        <v>21</v>
      </c>
      <c r="H51" s="2">
        <v>46203.468344907407</v>
      </c>
      <c r="I51">
        <v>9</v>
      </c>
      <c r="J51" t="s">
        <v>22</v>
      </c>
      <c r="K51" s="8">
        <v>1</v>
      </c>
      <c r="L51">
        <v>8</v>
      </c>
      <c r="M51" t="s">
        <v>64</v>
      </c>
      <c r="N51">
        <v>46</v>
      </c>
      <c r="O51" t="s">
        <v>30</v>
      </c>
      <c r="P51" t="s">
        <v>60</v>
      </c>
      <c r="Q51" t="s">
        <v>95</v>
      </c>
      <c r="R51" s="7">
        <v>2.5</v>
      </c>
      <c r="S51" s="7">
        <v>2.5</v>
      </c>
      <c r="T51" t="s">
        <v>29</v>
      </c>
    </row>
    <row r="52" spans="1:20" x14ac:dyDescent="0.3">
      <c r="A52">
        <v>51</v>
      </c>
      <c r="B52" s="1">
        <v>44927</v>
      </c>
      <c r="C52">
        <v>2023</v>
      </c>
      <c r="D52">
        <v>1</v>
      </c>
      <c r="E52" t="s">
        <v>20</v>
      </c>
      <c r="F52">
        <v>1</v>
      </c>
      <c r="G52" t="s">
        <v>21</v>
      </c>
      <c r="H52" s="2">
        <v>46203.468530092592</v>
      </c>
      <c r="I52">
        <v>9</v>
      </c>
      <c r="J52" t="s">
        <v>22</v>
      </c>
      <c r="K52" s="8">
        <v>1</v>
      </c>
      <c r="L52">
        <v>8</v>
      </c>
      <c r="M52" t="s">
        <v>64</v>
      </c>
      <c r="N52">
        <v>32</v>
      </c>
      <c r="O52" t="s">
        <v>24</v>
      </c>
      <c r="P52" t="s">
        <v>25</v>
      </c>
      <c r="Q52" t="s">
        <v>26</v>
      </c>
      <c r="R52" s="7">
        <v>3</v>
      </c>
      <c r="S52" s="7">
        <v>3</v>
      </c>
      <c r="T52" t="s">
        <v>29</v>
      </c>
    </row>
    <row r="53" spans="1:20" x14ac:dyDescent="0.3">
      <c r="A53">
        <v>52</v>
      </c>
      <c r="B53" s="1">
        <v>44927</v>
      </c>
      <c r="C53">
        <v>2023</v>
      </c>
      <c r="D53">
        <v>1</v>
      </c>
      <c r="E53" t="s">
        <v>20</v>
      </c>
      <c r="F53">
        <v>1</v>
      </c>
      <c r="G53" t="s">
        <v>21</v>
      </c>
      <c r="H53" s="2">
        <v>46203.468854166669</v>
      </c>
      <c r="I53">
        <v>9</v>
      </c>
      <c r="J53" t="s">
        <v>22</v>
      </c>
      <c r="K53" s="8">
        <v>2</v>
      </c>
      <c r="L53">
        <v>5</v>
      </c>
      <c r="M53" t="s">
        <v>23</v>
      </c>
      <c r="N53">
        <v>47</v>
      </c>
      <c r="O53" t="s">
        <v>30</v>
      </c>
      <c r="P53" t="s">
        <v>60</v>
      </c>
      <c r="Q53" t="s">
        <v>61</v>
      </c>
      <c r="R53" s="7">
        <v>3</v>
      </c>
      <c r="S53" s="7">
        <v>6</v>
      </c>
      <c r="T53" t="s">
        <v>29</v>
      </c>
    </row>
    <row r="54" spans="1:20" x14ac:dyDescent="0.3">
      <c r="A54">
        <v>53</v>
      </c>
      <c r="B54" s="1">
        <v>44927</v>
      </c>
      <c r="C54">
        <v>2023</v>
      </c>
      <c r="D54">
        <v>1</v>
      </c>
      <c r="E54" t="s">
        <v>20</v>
      </c>
      <c r="F54">
        <v>1</v>
      </c>
      <c r="G54" t="s">
        <v>21</v>
      </c>
      <c r="H54" s="2">
        <v>46203.468900462962</v>
      </c>
      <c r="I54">
        <v>9</v>
      </c>
      <c r="J54" t="s">
        <v>22</v>
      </c>
      <c r="K54" s="8">
        <v>2</v>
      </c>
      <c r="L54">
        <v>5</v>
      </c>
      <c r="M54" t="s">
        <v>23</v>
      </c>
      <c r="N54">
        <v>43</v>
      </c>
      <c r="O54" t="s">
        <v>30</v>
      </c>
      <c r="P54" t="s">
        <v>65</v>
      </c>
      <c r="Q54" t="s">
        <v>75</v>
      </c>
      <c r="R54" s="7">
        <v>3</v>
      </c>
      <c r="S54" s="7">
        <v>6</v>
      </c>
      <c r="T54" t="s">
        <v>29</v>
      </c>
    </row>
    <row r="55" spans="1:20" x14ac:dyDescent="0.3">
      <c r="A55">
        <v>54</v>
      </c>
      <c r="B55" s="1">
        <v>44927</v>
      </c>
      <c r="C55">
        <v>2023</v>
      </c>
      <c r="D55">
        <v>1</v>
      </c>
      <c r="E55" t="s">
        <v>20</v>
      </c>
      <c r="F55">
        <v>1</v>
      </c>
      <c r="G55" t="s">
        <v>21</v>
      </c>
      <c r="H55" s="2">
        <v>46203.471770833334</v>
      </c>
      <c r="I55">
        <v>9</v>
      </c>
      <c r="J55" t="s">
        <v>22</v>
      </c>
      <c r="K55" s="8">
        <v>2</v>
      </c>
      <c r="L55">
        <v>5</v>
      </c>
      <c r="M55" t="s">
        <v>23</v>
      </c>
      <c r="N55">
        <v>25</v>
      </c>
      <c r="O55" t="s">
        <v>24</v>
      </c>
      <c r="P55" t="s">
        <v>82</v>
      </c>
      <c r="Q55" t="s">
        <v>96</v>
      </c>
      <c r="R55" s="7">
        <v>2.2000000000000002</v>
      </c>
      <c r="S55" s="7">
        <v>4.4000000000000004</v>
      </c>
      <c r="T55" t="s">
        <v>29</v>
      </c>
    </row>
    <row r="56" spans="1:20" x14ac:dyDescent="0.3">
      <c r="A56">
        <v>55</v>
      </c>
      <c r="B56" s="1">
        <v>44927</v>
      </c>
      <c r="C56">
        <v>2023</v>
      </c>
      <c r="D56">
        <v>1</v>
      </c>
      <c r="E56" t="s">
        <v>20</v>
      </c>
      <c r="F56">
        <v>1</v>
      </c>
      <c r="G56" t="s">
        <v>21</v>
      </c>
      <c r="H56" s="2">
        <v>46203.471828703703</v>
      </c>
      <c r="I56">
        <v>9</v>
      </c>
      <c r="J56" t="s">
        <v>22</v>
      </c>
      <c r="K56" s="8">
        <v>1</v>
      </c>
      <c r="L56">
        <v>8</v>
      </c>
      <c r="M56" t="s">
        <v>64</v>
      </c>
      <c r="N56">
        <v>59</v>
      </c>
      <c r="O56" t="s">
        <v>35</v>
      </c>
      <c r="P56" t="s">
        <v>36</v>
      </c>
      <c r="Q56" t="s">
        <v>37</v>
      </c>
      <c r="R56" s="7">
        <v>4.5</v>
      </c>
      <c r="S56" s="7">
        <v>4.5</v>
      </c>
      <c r="T56" t="s">
        <v>29</v>
      </c>
    </row>
    <row r="57" spans="1:20" x14ac:dyDescent="0.3">
      <c r="A57">
        <v>56</v>
      </c>
      <c r="B57" s="1">
        <v>44927</v>
      </c>
      <c r="C57">
        <v>2023</v>
      </c>
      <c r="D57">
        <v>1</v>
      </c>
      <c r="E57" t="s">
        <v>20</v>
      </c>
      <c r="F57">
        <v>1</v>
      </c>
      <c r="G57" t="s">
        <v>21</v>
      </c>
      <c r="H57" s="2">
        <v>46203.473009259258</v>
      </c>
      <c r="I57">
        <v>9</v>
      </c>
      <c r="J57" t="s">
        <v>22</v>
      </c>
      <c r="K57" s="8">
        <v>1</v>
      </c>
      <c r="L57">
        <v>5</v>
      </c>
      <c r="M57" t="s">
        <v>23</v>
      </c>
      <c r="N57">
        <v>38</v>
      </c>
      <c r="O57" t="s">
        <v>24</v>
      </c>
      <c r="P57" t="s">
        <v>48</v>
      </c>
      <c r="Q57" t="s">
        <v>81</v>
      </c>
      <c r="R57" s="7">
        <v>3.75</v>
      </c>
      <c r="S57" s="7">
        <v>3.75</v>
      </c>
      <c r="T57" t="s">
        <v>29</v>
      </c>
    </row>
    <row r="58" spans="1:20" x14ac:dyDescent="0.3">
      <c r="A58">
        <v>57</v>
      </c>
      <c r="B58" s="1">
        <v>44927</v>
      </c>
      <c r="C58">
        <v>2023</v>
      </c>
      <c r="D58">
        <v>1</v>
      </c>
      <c r="E58" t="s">
        <v>20</v>
      </c>
      <c r="F58">
        <v>1</v>
      </c>
      <c r="G58" t="s">
        <v>21</v>
      </c>
      <c r="H58" s="2">
        <v>46203.473807870374</v>
      </c>
      <c r="I58">
        <v>9</v>
      </c>
      <c r="J58" t="s">
        <v>22</v>
      </c>
      <c r="K58" s="8">
        <v>1</v>
      </c>
      <c r="L58">
        <v>8</v>
      </c>
      <c r="M58" t="s">
        <v>64</v>
      </c>
      <c r="N58">
        <v>45</v>
      </c>
      <c r="O58" t="s">
        <v>30</v>
      </c>
      <c r="P58" t="s">
        <v>65</v>
      </c>
      <c r="Q58" t="s">
        <v>77</v>
      </c>
      <c r="R58" s="7">
        <v>3</v>
      </c>
      <c r="S58" s="7">
        <v>3</v>
      </c>
      <c r="T58" t="s">
        <v>29</v>
      </c>
    </row>
    <row r="59" spans="1:20" x14ac:dyDescent="0.3">
      <c r="A59">
        <v>58</v>
      </c>
      <c r="B59" s="1">
        <v>44927</v>
      </c>
      <c r="C59">
        <v>2023</v>
      </c>
      <c r="D59">
        <v>1</v>
      </c>
      <c r="E59" t="s">
        <v>20</v>
      </c>
      <c r="F59">
        <v>1</v>
      </c>
      <c r="G59" t="s">
        <v>21</v>
      </c>
      <c r="H59" s="2">
        <v>46203.474143518521</v>
      </c>
      <c r="I59">
        <v>9</v>
      </c>
      <c r="J59" t="s">
        <v>22</v>
      </c>
      <c r="K59" s="8">
        <v>1</v>
      </c>
      <c r="L59">
        <v>5</v>
      </c>
      <c r="M59" t="s">
        <v>23</v>
      </c>
      <c r="N59">
        <v>34</v>
      </c>
      <c r="O59" t="s">
        <v>24</v>
      </c>
      <c r="P59" t="s">
        <v>99</v>
      </c>
      <c r="Q59" t="s">
        <v>100</v>
      </c>
      <c r="R59" s="7">
        <v>2.4500000000000002</v>
      </c>
      <c r="S59" s="7">
        <v>2.4500000000000002</v>
      </c>
      <c r="T59" t="s">
        <v>29</v>
      </c>
    </row>
    <row r="60" spans="1:20" x14ac:dyDescent="0.3">
      <c r="A60">
        <v>59</v>
      </c>
      <c r="B60" s="1">
        <v>44927</v>
      </c>
      <c r="C60">
        <v>2023</v>
      </c>
      <c r="D60">
        <v>1</v>
      </c>
      <c r="E60" t="s">
        <v>20</v>
      </c>
      <c r="F60">
        <v>1</v>
      </c>
      <c r="G60" t="s">
        <v>21</v>
      </c>
      <c r="H60" s="2">
        <v>46203.479120370372</v>
      </c>
      <c r="I60">
        <v>9</v>
      </c>
      <c r="J60" t="s">
        <v>22</v>
      </c>
      <c r="K60" s="8">
        <v>2</v>
      </c>
      <c r="L60">
        <v>8</v>
      </c>
      <c r="M60" t="s">
        <v>64</v>
      </c>
      <c r="N60">
        <v>36</v>
      </c>
      <c r="O60" t="s">
        <v>24</v>
      </c>
      <c r="P60" t="s">
        <v>99</v>
      </c>
      <c r="Q60" t="s">
        <v>102</v>
      </c>
      <c r="R60" s="7">
        <v>3.75</v>
      </c>
      <c r="S60" s="7">
        <v>7.5</v>
      </c>
      <c r="T60" t="s">
        <v>29</v>
      </c>
    </row>
    <row r="61" spans="1:20" x14ac:dyDescent="0.3">
      <c r="A61">
        <v>60</v>
      </c>
      <c r="B61" s="1">
        <v>44927</v>
      </c>
      <c r="C61">
        <v>2023</v>
      </c>
      <c r="D61">
        <v>1</v>
      </c>
      <c r="E61" t="s">
        <v>20</v>
      </c>
      <c r="F61">
        <v>1</v>
      </c>
      <c r="G61" t="s">
        <v>21</v>
      </c>
      <c r="H61" s="2">
        <v>46203.479120370372</v>
      </c>
      <c r="I61">
        <v>9</v>
      </c>
      <c r="J61" t="s">
        <v>22</v>
      </c>
      <c r="K61" s="8">
        <v>1</v>
      </c>
      <c r="L61">
        <v>8</v>
      </c>
      <c r="M61" t="s">
        <v>64</v>
      </c>
      <c r="N61">
        <v>74</v>
      </c>
      <c r="O61" t="s">
        <v>43</v>
      </c>
      <c r="P61" t="s">
        <v>71</v>
      </c>
      <c r="Q61" t="s">
        <v>103</v>
      </c>
      <c r="R61" s="7">
        <v>3.5</v>
      </c>
      <c r="S61" s="7">
        <v>3.5</v>
      </c>
      <c r="T61" t="s">
        <v>29</v>
      </c>
    </row>
    <row r="62" spans="1:20" x14ac:dyDescent="0.3">
      <c r="A62">
        <v>61</v>
      </c>
      <c r="B62" s="1">
        <v>44927</v>
      </c>
      <c r="C62">
        <v>2023</v>
      </c>
      <c r="D62">
        <v>1</v>
      </c>
      <c r="E62" t="s">
        <v>20</v>
      </c>
      <c r="F62">
        <v>1</v>
      </c>
      <c r="G62" t="s">
        <v>21</v>
      </c>
      <c r="H62" s="2">
        <v>46203.479131944441</v>
      </c>
      <c r="I62">
        <v>9</v>
      </c>
      <c r="J62" t="s">
        <v>22</v>
      </c>
      <c r="K62" s="8">
        <v>1</v>
      </c>
      <c r="L62">
        <v>8</v>
      </c>
      <c r="M62" t="s">
        <v>64</v>
      </c>
      <c r="N62">
        <v>53</v>
      </c>
      <c r="O62" t="s">
        <v>30</v>
      </c>
      <c r="P62" t="s">
        <v>31</v>
      </c>
      <c r="Q62" t="s">
        <v>104</v>
      </c>
      <c r="R62" s="7">
        <v>3</v>
      </c>
      <c r="S62" s="7">
        <v>3</v>
      </c>
      <c r="T62" t="s">
        <v>29</v>
      </c>
    </row>
    <row r="63" spans="1:20" x14ac:dyDescent="0.3">
      <c r="A63">
        <v>62</v>
      </c>
      <c r="B63" s="1">
        <v>44927</v>
      </c>
      <c r="C63">
        <v>2023</v>
      </c>
      <c r="D63">
        <v>1</v>
      </c>
      <c r="E63" t="s">
        <v>20</v>
      </c>
      <c r="F63">
        <v>1</v>
      </c>
      <c r="G63" t="s">
        <v>21</v>
      </c>
      <c r="H63" s="2">
        <v>46203.482141203705</v>
      </c>
      <c r="I63">
        <v>9</v>
      </c>
      <c r="J63" t="s">
        <v>22</v>
      </c>
      <c r="K63" s="8">
        <v>2</v>
      </c>
      <c r="L63">
        <v>8</v>
      </c>
      <c r="M63" t="s">
        <v>64</v>
      </c>
      <c r="N63">
        <v>41</v>
      </c>
      <c r="O63" t="s">
        <v>24</v>
      </c>
      <c r="P63" t="s">
        <v>48</v>
      </c>
      <c r="Q63" t="s">
        <v>105</v>
      </c>
      <c r="R63" s="7">
        <v>4.25</v>
      </c>
      <c r="S63" s="7">
        <v>8.5</v>
      </c>
      <c r="T63" t="s">
        <v>29</v>
      </c>
    </row>
    <row r="64" spans="1:20" x14ac:dyDescent="0.3">
      <c r="A64">
        <v>63</v>
      </c>
      <c r="B64" s="1">
        <v>44927</v>
      </c>
      <c r="C64">
        <v>2023</v>
      </c>
      <c r="D64">
        <v>1</v>
      </c>
      <c r="E64" t="s">
        <v>20</v>
      </c>
      <c r="F64">
        <v>1</v>
      </c>
      <c r="G64" t="s">
        <v>21</v>
      </c>
      <c r="H64" s="2">
        <v>46203.486261574071</v>
      </c>
      <c r="I64">
        <v>9</v>
      </c>
      <c r="J64" t="s">
        <v>22</v>
      </c>
      <c r="K64" s="8">
        <v>1</v>
      </c>
      <c r="L64">
        <v>5</v>
      </c>
      <c r="M64" t="s">
        <v>23</v>
      </c>
      <c r="N64">
        <v>41</v>
      </c>
      <c r="O64" t="s">
        <v>24</v>
      </c>
      <c r="P64" t="s">
        <v>48</v>
      </c>
      <c r="Q64" t="s">
        <v>105</v>
      </c>
      <c r="R64" s="7">
        <v>4.25</v>
      </c>
      <c r="S64" s="7">
        <v>4.25</v>
      </c>
      <c r="T64" t="s">
        <v>29</v>
      </c>
    </row>
    <row r="65" spans="1:20" x14ac:dyDescent="0.3">
      <c r="A65">
        <v>64</v>
      </c>
      <c r="B65" s="1">
        <v>44927</v>
      </c>
      <c r="C65">
        <v>2023</v>
      </c>
      <c r="D65">
        <v>1</v>
      </c>
      <c r="E65" t="s">
        <v>20</v>
      </c>
      <c r="F65">
        <v>1</v>
      </c>
      <c r="G65" t="s">
        <v>21</v>
      </c>
      <c r="H65" s="2">
        <v>46203.487060185187</v>
      </c>
      <c r="I65">
        <v>9</v>
      </c>
      <c r="J65" t="s">
        <v>22</v>
      </c>
      <c r="K65" s="8">
        <v>2</v>
      </c>
      <c r="L65">
        <v>5</v>
      </c>
      <c r="M65" t="s">
        <v>23</v>
      </c>
      <c r="N65">
        <v>45</v>
      </c>
      <c r="O65" t="s">
        <v>30</v>
      </c>
      <c r="P65" t="s">
        <v>65</v>
      </c>
      <c r="Q65" t="s">
        <v>77</v>
      </c>
      <c r="R65" s="7">
        <v>3</v>
      </c>
      <c r="S65" s="7">
        <v>6</v>
      </c>
      <c r="T65" t="s">
        <v>29</v>
      </c>
    </row>
    <row r="66" spans="1:20" x14ac:dyDescent="0.3">
      <c r="A66">
        <v>65</v>
      </c>
      <c r="B66" s="1">
        <v>44927</v>
      </c>
      <c r="C66">
        <v>2023</v>
      </c>
      <c r="D66">
        <v>1</v>
      </c>
      <c r="E66" t="s">
        <v>20</v>
      </c>
      <c r="F66">
        <v>1</v>
      </c>
      <c r="G66" t="s">
        <v>21</v>
      </c>
      <c r="H66" s="2">
        <v>46203.487060185187</v>
      </c>
      <c r="I66">
        <v>9</v>
      </c>
      <c r="J66" t="s">
        <v>22</v>
      </c>
      <c r="K66" s="8">
        <v>1</v>
      </c>
      <c r="L66">
        <v>5</v>
      </c>
      <c r="M66" t="s">
        <v>23</v>
      </c>
      <c r="N66">
        <v>79</v>
      </c>
      <c r="O66" t="s">
        <v>43</v>
      </c>
      <c r="P66" t="s">
        <v>44</v>
      </c>
      <c r="Q66" t="s">
        <v>62</v>
      </c>
      <c r="R66" s="7">
        <v>3.75</v>
      </c>
      <c r="S66" s="7">
        <v>3.75</v>
      </c>
      <c r="T66" t="s">
        <v>29</v>
      </c>
    </row>
    <row r="67" spans="1:20" x14ac:dyDescent="0.3">
      <c r="A67">
        <v>66</v>
      </c>
      <c r="B67" s="1">
        <v>44927</v>
      </c>
      <c r="C67">
        <v>2023</v>
      </c>
      <c r="D67">
        <v>1</v>
      </c>
      <c r="E67" t="s">
        <v>20</v>
      </c>
      <c r="F67">
        <v>1</v>
      </c>
      <c r="G67" t="s">
        <v>21</v>
      </c>
      <c r="H67" s="2">
        <v>46203.489120370374</v>
      </c>
      <c r="I67">
        <v>9</v>
      </c>
      <c r="J67" t="s">
        <v>22</v>
      </c>
      <c r="K67" s="8">
        <v>2</v>
      </c>
      <c r="L67">
        <v>5</v>
      </c>
      <c r="M67" t="s">
        <v>23</v>
      </c>
      <c r="N67">
        <v>54</v>
      </c>
      <c r="O67" t="s">
        <v>30</v>
      </c>
      <c r="P67" t="s">
        <v>31</v>
      </c>
      <c r="Q67" t="s">
        <v>87</v>
      </c>
      <c r="R67" s="7">
        <v>2.5</v>
      </c>
      <c r="S67" s="7">
        <v>5</v>
      </c>
      <c r="T67" t="s">
        <v>29</v>
      </c>
    </row>
    <row r="68" spans="1:20" x14ac:dyDescent="0.3">
      <c r="A68">
        <v>67</v>
      </c>
      <c r="B68" s="1">
        <v>44927</v>
      </c>
      <c r="C68">
        <v>2023</v>
      </c>
      <c r="D68">
        <v>1</v>
      </c>
      <c r="E68" t="s">
        <v>20</v>
      </c>
      <c r="F68">
        <v>1</v>
      </c>
      <c r="G68" t="s">
        <v>21</v>
      </c>
      <c r="H68" s="2">
        <v>46203.489421296297</v>
      </c>
      <c r="I68">
        <v>9</v>
      </c>
      <c r="J68" t="s">
        <v>22</v>
      </c>
      <c r="K68" s="8">
        <v>1</v>
      </c>
      <c r="L68">
        <v>5</v>
      </c>
      <c r="M68" t="s">
        <v>23</v>
      </c>
      <c r="N68">
        <v>24</v>
      </c>
      <c r="O68" t="s">
        <v>24</v>
      </c>
      <c r="P68" t="s">
        <v>40</v>
      </c>
      <c r="Q68" t="s">
        <v>89</v>
      </c>
      <c r="R68" s="7">
        <v>3</v>
      </c>
      <c r="S68" s="7">
        <v>3</v>
      </c>
      <c r="T68" t="s">
        <v>29</v>
      </c>
    </row>
    <row r="69" spans="1:20" x14ac:dyDescent="0.3">
      <c r="A69">
        <v>68</v>
      </c>
      <c r="B69" s="1">
        <v>44927</v>
      </c>
      <c r="C69">
        <v>2023</v>
      </c>
      <c r="D69">
        <v>1</v>
      </c>
      <c r="E69" t="s">
        <v>20</v>
      </c>
      <c r="F69">
        <v>1</v>
      </c>
      <c r="G69" t="s">
        <v>21</v>
      </c>
      <c r="H69" s="2">
        <v>46203.490810185183</v>
      </c>
      <c r="I69">
        <v>9</v>
      </c>
      <c r="J69" t="s">
        <v>22</v>
      </c>
      <c r="K69" s="8">
        <v>2</v>
      </c>
      <c r="L69">
        <v>5</v>
      </c>
      <c r="M69" t="s">
        <v>23</v>
      </c>
      <c r="N69">
        <v>37</v>
      </c>
      <c r="O69" t="s">
        <v>24</v>
      </c>
      <c r="P69" t="s">
        <v>48</v>
      </c>
      <c r="Q69" t="s">
        <v>107</v>
      </c>
      <c r="R69" s="7">
        <v>3</v>
      </c>
      <c r="S69" s="7">
        <v>6</v>
      </c>
      <c r="T69" t="s">
        <v>29</v>
      </c>
    </row>
    <row r="70" spans="1:20" x14ac:dyDescent="0.3">
      <c r="A70">
        <v>69</v>
      </c>
      <c r="B70" s="1">
        <v>44927</v>
      </c>
      <c r="C70">
        <v>2023</v>
      </c>
      <c r="D70">
        <v>1</v>
      </c>
      <c r="E70" t="s">
        <v>20</v>
      </c>
      <c r="F70">
        <v>1</v>
      </c>
      <c r="G70" t="s">
        <v>21</v>
      </c>
      <c r="H70" s="2">
        <v>46203.491435185184</v>
      </c>
      <c r="I70">
        <v>9</v>
      </c>
      <c r="J70" t="s">
        <v>22</v>
      </c>
      <c r="K70" s="8">
        <v>2</v>
      </c>
      <c r="L70">
        <v>8</v>
      </c>
      <c r="M70" t="s">
        <v>64</v>
      </c>
      <c r="N70">
        <v>40</v>
      </c>
      <c r="O70" t="s">
        <v>24</v>
      </c>
      <c r="P70" t="s">
        <v>48</v>
      </c>
      <c r="Q70" t="s">
        <v>74</v>
      </c>
      <c r="R70" s="7">
        <v>3.75</v>
      </c>
      <c r="S70" s="7">
        <v>7.5</v>
      </c>
      <c r="T70" t="s">
        <v>29</v>
      </c>
    </row>
    <row r="71" spans="1:20" x14ac:dyDescent="0.3">
      <c r="A71">
        <v>70</v>
      </c>
      <c r="B71" s="1">
        <v>44927</v>
      </c>
      <c r="C71">
        <v>2023</v>
      </c>
      <c r="D71">
        <v>1</v>
      </c>
      <c r="E71" t="s">
        <v>20</v>
      </c>
      <c r="F71">
        <v>1</v>
      </c>
      <c r="G71" t="s">
        <v>21</v>
      </c>
      <c r="H71" s="2">
        <v>46203.493564814817</v>
      </c>
      <c r="I71">
        <v>9</v>
      </c>
      <c r="J71" t="s">
        <v>22</v>
      </c>
      <c r="K71" s="8">
        <v>2</v>
      </c>
      <c r="L71">
        <v>5</v>
      </c>
      <c r="M71" t="s">
        <v>23</v>
      </c>
      <c r="N71">
        <v>37</v>
      </c>
      <c r="O71" t="s">
        <v>24</v>
      </c>
      <c r="P71" t="s">
        <v>48</v>
      </c>
      <c r="Q71" t="s">
        <v>107</v>
      </c>
      <c r="R71" s="7">
        <v>3</v>
      </c>
      <c r="S71" s="7">
        <v>6</v>
      </c>
      <c r="T71" t="s">
        <v>29</v>
      </c>
    </row>
    <row r="72" spans="1:20" x14ac:dyDescent="0.3">
      <c r="A72">
        <v>71</v>
      </c>
      <c r="B72" s="1">
        <v>44927</v>
      </c>
      <c r="C72">
        <v>2023</v>
      </c>
      <c r="D72">
        <v>1</v>
      </c>
      <c r="E72" t="s">
        <v>20</v>
      </c>
      <c r="F72">
        <v>1</v>
      </c>
      <c r="G72" t="s">
        <v>21</v>
      </c>
      <c r="H72" s="2">
        <v>46203.493564814817</v>
      </c>
      <c r="I72">
        <v>9</v>
      </c>
      <c r="J72" t="s">
        <v>22</v>
      </c>
      <c r="K72" s="8">
        <v>1</v>
      </c>
      <c r="L72">
        <v>5</v>
      </c>
      <c r="M72" t="s">
        <v>23</v>
      </c>
      <c r="N72">
        <v>69</v>
      </c>
      <c r="O72" t="s">
        <v>43</v>
      </c>
      <c r="P72" t="s">
        <v>71</v>
      </c>
      <c r="Q72" t="s">
        <v>72</v>
      </c>
      <c r="R72" s="7">
        <v>3.25</v>
      </c>
      <c r="S72" s="7">
        <v>3.25</v>
      </c>
      <c r="T72" t="s">
        <v>29</v>
      </c>
    </row>
    <row r="73" spans="1:20" x14ac:dyDescent="0.3">
      <c r="A73">
        <v>72</v>
      </c>
      <c r="B73" s="1">
        <v>44927</v>
      </c>
      <c r="C73">
        <v>2023</v>
      </c>
      <c r="D73">
        <v>1</v>
      </c>
      <c r="E73" t="s">
        <v>20</v>
      </c>
      <c r="F73">
        <v>1</v>
      </c>
      <c r="G73" t="s">
        <v>21</v>
      </c>
      <c r="H73" s="2">
        <v>46203.495115740741</v>
      </c>
      <c r="I73">
        <v>9</v>
      </c>
      <c r="J73" t="s">
        <v>22</v>
      </c>
      <c r="K73" s="8">
        <v>1</v>
      </c>
      <c r="L73">
        <v>5</v>
      </c>
      <c r="M73" t="s">
        <v>23</v>
      </c>
      <c r="N73">
        <v>50</v>
      </c>
      <c r="O73" t="s">
        <v>30</v>
      </c>
      <c r="P73" t="s">
        <v>57</v>
      </c>
      <c r="Q73" t="s">
        <v>108</v>
      </c>
      <c r="R73" s="7">
        <v>2.5</v>
      </c>
      <c r="S73" s="7">
        <v>2.5</v>
      </c>
      <c r="T73" t="s">
        <v>29</v>
      </c>
    </row>
    <row r="74" spans="1:20" x14ac:dyDescent="0.3">
      <c r="A74">
        <v>73</v>
      </c>
      <c r="B74" s="1">
        <v>44927</v>
      </c>
      <c r="C74">
        <v>2023</v>
      </c>
      <c r="D74">
        <v>1</v>
      </c>
      <c r="E74" t="s">
        <v>20</v>
      </c>
      <c r="F74">
        <v>1</v>
      </c>
      <c r="G74" t="s">
        <v>21</v>
      </c>
      <c r="H74" s="2">
        <v>46203.495462962965</v>
      </c>
      <c r="I74">
        <v>9</v>
      </c>
      <c r="J74" t="s">
        <v>22</v>
      </c>
      <c r="K74" s="8">
        <v>1</v>
      </c>
      <c r="L74">
        <v>8</v>
      </c>
      <c r="M74" t="s">
        <v>64</v>
      </c>
      <c r="N74">
        <v>47</v>
      </c>
      <c r="O74" t="s">
        <v>30</v>
      </c>
      <c r="P74" t="s">
        <v>60</v>
      </c>
      <c r="Q74" t="s">
        <v>61</v>
      </c>
      <c r="R74" s="7">
        <v>3</v>
      </c>
      <c r="S74" s="7">
        <v>3</v>
      </c>
      <c r="T74" t="s">
        <v>29</v>
      </c>
    </row>
    <row r="75" spans="1:20" x14ac:dyDescent="0.3">
      <c r="A75">
        <v>74</v>
      </c>
      <c r="B75" s="1">
        <v>44927</v>
      </c>
      <c r="C75">
        <v>2023</v>
      </c>
      <c r="D75">
        <v>1</v>
      </c>
      <c r="E75" t="s">
        <v>20</v>
      </c>
      <c r="F75">
        <v>1</v>
      </c>
      <c r="G75" t="s">
        <v>21</v>
      </c>
      <c r="H75" s="2">
        <v>46203.495648148149</v>
      </c>
      <c r="I75">
        <v>9</v>
      </c>
      <c r="J75" t="s">
        <v>22</v>
      </c>
      <c r="K75" s="8">
        <v>2</v>
      </c>
      <c r="L75">
        <v>8</v>
      </c>
      <c r="M75" t="s">
        <v>64</v>
      </c>
      <c r="N75">
        <v>40</v>
      </c>
      <c r="O75" t="s">
        <v>24</v>
      </c>
      <c r="P75" t="s">
        <v>48</v>
      </c>
      <c r="Q75" t="s">
        <v>74</v>
      </c>
      <c r="R75" s="7">
        <v>3.75</v>
      </c>
      <c r="S75" s="7">
        <v>7.5</v>
      </c>
      <c r="T75" t="s">
        <v>29</v>
      </c>
    </row>
    <row r="76" spans="1:20" x14ac:dyDescent="0.3">
      <c r="A76">
        <v>75</v>
      </c>
      <c r="B76" s="1">
        <v>44927</v>
      </c>
      <c r="C76">
        <v>2023</v>
      </c>
      <c r="D76">
        <v>1</v>
      </c>
      <c r="E76" t="s">
        <v>20</v>
      </c>
      <c r="F76">
        <v>1</v>
      </c>
      <c r="G76" t="s">
        <v>21</v>
      </c>
      <c r="H76" s="2">
        <v>46203.495648148149</v>
      </c>
      <c r="I76">
        <v>9</v>
      </c>
      <c r="J76" t="s">
        <v>22</v>
      </c>
      <c r="K76" s="8">
        <v>1</v>
      </c>
      <c r="L76">
        <v>8</v>
      </c>
      <c r="M76" t="s">
        <v>64</v>
      </c>
      <c r="N76">
        <v>72</v>
      </c>
      <c r="O76" t="s">
        <v>43</v>
      </c>
      <c r="P76" t="s">
        <v>44</v>
      </c>
      <c r="Q76" t="s">
        <v>109</v>
      </c>
      <c r="R76" s="7">
        <v>3.25</v>
      </c>
      <c r="S76" s="7">
        <v>3.25</v>
      </c>
      <c r="T76" t="s">
        <v>29</v>
      </c>
    </row>
    <row r="77" spans="1:20" x14ac:dyDescent="0.3">
      <c r="A77">
        <v>76</v>
      </c>
      <c r="B77" s="1">
        <v>44927</v>
      </c>
      <c r="C77">
        <v>2023</v>
      </c>
      <c r="D77">
        <v>1</v>
      </c>
      <c r="E77" t="s">
        <v>20</v>
      </c>
      <c r="F77">
        <v>1</v>
      </c>
      <c r="G77" t="s">
        <v>21</v>
      </c>
      <c r="H77" s="2">
        <v>46203.495706018519</v>
      </c>
      <c r="I77">
        <v>9</v>
      </c>
      <c r="J77" t="s">
        <v>22</v>
      </c>
      <c r="K77" s="8">
        <v>1</v>
      </c>
      <c r="L77">
        <v>8</v>
      </c>
      <c r="M77" t="s">
        <v>64</v>
      </c>
      <c r="N77">
        <v>35</v>
      </c>
      <c r="O77" t="s">
        <v>24</v>
      </c>
      <c r="P77" t="s">
        <v>99</v>
      </c>
      <c r="Q77" t="s">
        <v>110</v>
      </c>
      <c r="R77" s="7">
        <v>3.1</v>
      </c>
      <c r="S77" s="7">
        <v>3.1</v>
      </c>
      <c r="T77" t="s">
        <v>29</v>
      </c>
    </row>
    <row r="78" spans="1:20" x14ac:dyDescent="0.3">
      <c r="A78">
        <v>77</v>
      </c>
      <c r="B78" s="1">
        <v>44927</v>
      </c>
      <c r="C78">
        <v>2023</v>
      </c>
      <c r="D78">
        <v>1</v>
      </c>
      <c r="E78" t="s">
        <v>20</v>
      </c>
      <c r="F78">
        <v>1</v>
      </c>
      <c r="G78" t="s">
        <v>21</v>
      </c>
      <c r="H78" s="2">
        <v>46203.496365740742</v>
      </c>
      <c r="I78">
        <v>9</v>
      </c>
      <c r="J78" t="s">
        <v>22</v>
      </c>
      <c r="K78" s="8">
        <v>1</v>
      </c>
      <c r="L78">
        <v>5</v>
      </c>
      <c r="M78" t="s">
        <v>23</v>
      </c>
      <c r="N78">
        <v>23</v>
      </c>
      <c r="O78" t="s">
        <v>24</v>
      </c>
      <c r="P78" t="s">
        <v>40</v>
      </c>
      <c r="Q78" t="s">
        <v>94</v>
      </c>
      <c r="R78" s="7">
        <v>2.5</v>
      </c>
      <c r="S78" s="7">
        <v>2.5</v>
      </c>
      <c r="T78" t="s">
        <v>29</v>
      </c>
    </row>
    <row r="79" spans="1:20" x14ac:dyDescent="0.3">
      <c r="A79">
        <v>78</v>
      </c>
      <c r="B79" s="1">
        <v>44927</v>
      </c>
      <c r="C79">
        <v>2023</v>
      </c>
      <c r="D79">
        <v>1</v>
      </c>
      <c r="E79" t="s">
        <v>20</v>
      </c>
      <c r="F79">
        <v>1</v>
      </c>
      <c r="G79" t="s">
        <v>21</v>
      </c>
      <c r="H79" s="2">
        <v>46203.496712962966</v>
      </c>
      <c r="I79">
        <v>9</v>
      </c>
      <c r="J79" t="s">
        <v>22</v>
      </c>
      <c r="K79" s="8">
        <v>2</v>
      </c>
      <c r="L79">
        <v>5</v>
      </c>
      <c r="M79" t="s">
        <v>23</v>
      </c>
      <c r="N79">
        <v>43</v>
      </c>
      <c r="O79" t="s">
        <v>30</v>
      </c>
      <c r="P79" t="s">
        <v>65</v>
      </c>
      <c r="Q79" t="s">
        <v>75</v>
      </c>
      <c r="R79" s="7">
        <v>3</v>
      </c>
      <c r="S79" s="7">
        <v>6</v>
      </c>
      <c r="T79" t="s">
        <v>29</v>
      </c>
    </row>
    <row r="80" spans="1:20" x14ac:dyDescent="0.3">
      <c r="A80">
        <v>79</v>
      </c>
      <c r="B80" s="1">
        <v>44927</v>
      </c>
      <c r="C80">
        <v>2023</v>
      </c>
      <c r="D80">
        <v>1</v>
      </c>
      <c r="E80" t="s">
        <v>20</v>
      </c>
      <c r="F80">
        <v>1</v>
      </c>
      <c r="G80" t="s">
        <v>21</v>
      </c>
      <c r="H80" s="2">
        <v>46203.497569444444</v>
      </c>
      <c r="I80">
        <v>9</v>
      </c>
      <c r="J80" t="s">
        <v>22</v>
      </c>
      <c r="K80" s="8">
        <v>1</v>
      </c>
      <c r="L80">
        <v>8</v>
      </c>
      <c r="M80" t="s">
        <v>64</v>
      </c>
      <c r="N80">
        <v>22</v>
      </c>
      <c r="O80" t="s">
        <v>24</v>
      </c>
      <c r="P80" t="s">
        <v>40</v>
      </c>
      <c r="Q80" t="s">
        <v>41</v>
      </c>
      <c r="R80" s="7">
        <v>2</v>
      </c>
      <c r="S80" s="7">
        <v>2</v>
      </c>
      <c r="T80" t="s">
        <v>29</v>
      </c>
    </row>
    <row r="81" spans="1:20" x14ac:dyDescent="0.3">
      <c r="A81">
        <v>80</v>
      </c>
      <c r="B81" s="1">
        <v>44927</v>
      </c>
      <c r="C81">
        <v>2023</v>
      </c>
      <c r="D81">
        <v>1</v>
      </c>
      <c r="E81" t="s">
        <v>20</v>
      </c>
      <c r="F81">
        <v>1</v>
      </c>
      <c r="G81" t="s">
        <v>21</v>
      </c>
      <c r="H81" s="2">
        <v>46203.500451388885</v>
      </c>
      <c r="I81">
        <v>10</v>
      </c>
      <c r="J81" t="s">
        <v>22</v>
      </c>
      <c r="K81" s="8">
        <v>2</v>
      </c>
      <c r="L81">
        <v>8</v>
      </c>
      <c r="M81" t="s">
        <v>64</v>
      </c>
      <c r="N81">
        <v>32</v>
      </c>
      <c r="O81" t="s">
        <v>24</v>
      </c>
      <c r="P81" t="s">
        <v>25</v>
      </c>
      <c r="Q81" t="s">
        <v>26</v>
      </c>
      <c r="R81" s="7">
        <v>3</v>
      </c>
      <c r="S81" s="7">
        <v>6</v>
      </c>
      <c r="T81" t="s">
        <v>29</v>
      </c>
    </row>
    <row r="82" spans="1:20" x14ac:dyDescent="0.3">
      <c r="A82">
        <v>81</v>
      </c>
      <c r="B82" s="1">
        <v>44927</v>
      </c>
      <c r="C82">
        <v>2023</v>
      </c>
      <c r="D82">
        <v>1</v>
      </c>
      <c r="E82" t="s">
        <v>20</v>
      </c>
      <c r="F82">
        <v>1</v>
      </c>
      <c r="G82" t="s">
        <v>21</v>
      </c>
      <c r="H82" s="2">
        <v>46203.50271990741</v>
      </c>
      <c r="I82">
        <v>10</v>
      </c>
      <c r="J82" t="s">
        <v>22</v>
      </c>
      <c r="K82" s="8">
        <v>2</v>
      </c>
      <c r="L82">
        <v>8</v>
      </c>
      <c r="M82" t="s">
        <v>64</v>
      </c>
      <c r="N82">
        <v>36</v>
      </c>
      <c r="O82" t="s">
        <v>24</v>
      </c>
      <c r="P82" t="s">
        <v>99</v>
      </c>
      <c r="Q82" t="s">
        <v>102</v>
      </c>
      <c r="R82" s="7">
        <v>3.75</v>
      </c>
      <c r="S82" s="7">
        <v>7.5</v>
      </c>
      <c r="T82" t="s">
        <v>29</v>
      </c>
    </row>
    <row r="83" spans="1:20" x14ac:dyDescent="0.3">
      <c r="A83">
        <v>82</v>
      </c>
      <c r="B83" s="1">
        <v>44927</v>
      </c>
      <c r="C83">
        <v>2023</v>
      </c>
      <c r="D83">
        <v>1</v>
      </c>
      <c r="E83" t="s">
        <v>20</v>
      </c>
      <c r="F83">
        <v>1</v>
      </c>
      <c r="G83" t="s">
        <v>21</v>
      </c>
      <c r="H83" s="2">
        <v>46203.510289351849</v>
      </c>
      <c r="I83">
        <v>10</v>
      </c>
      <c r="J83" t="s">
        <v>22</v>
      </c>
      <c r="K83" s="8">
        <v>1</v>
      </c>
      <c r="L83">
        <v>5</v>
      </c>
      <c r="M83" t="s">
        <v>23</v>
      </c>
      <c r="N83">
        <v>26</v>
      </c>
      <c r="O83" t="s">
        <v>24</v>
      </c>
      <c r="P83" t="s">
        <v>82</v>
      </c>
      <c r="Q83" t="s">
        <v>83</v>
      </c>
      <c r="R83" s="7">
        <v>3</v>
      </c>
      <c r="S83" s="7">
        <v>3</v>
      </c>
      <c r="T83" t="s">
        <v>29</v>
      </c>
    </row>
    <row r="84" spans="1:20" x14ac:dyDescent="0.3">
      <c r="A84">
        <v>83</v>
      </c>
      <c r="B84" s="1">
        <v>44927</v>
      </c>
      <c r="C84">
        <v>2023</v>
      </c>
      <c r="D84">
        <v>1</v>
      </c>
      <c r="E84" t="s">
        <v>20</v>
      </c>
      <c r="F84">
        <v>1</v>
      </c>
      <c r="G84" t="s">
        <v>21</v>
      </c>
      <c r="H84" s="2">
        <v>46203.510289351849</v>
      </c>
      <c r="I84">
        <v>10</v>
      </c>
      <c r="J84" t="s">
        <v>22</v>
      </c>
      <c r="K84" s="8">
        <v>1</v>
      </c>
      <c r="L84">
        <v>5</v>
      </c>
      <c r="M84" t="s">
        <v>23</v>
      </c>
      <c r="N84">
        <v>71</v>
      </c>
      <c r="O84" t="s">
        <v>43</v>
      </c>
      <c r="P84" t="s">
        <v>78</v>
      </c>
      <c r="Q84" t="s">
        <v>79</v>
      </c>
      <c r="R84" s="7">
        <v>3.75</v>
      </c>
      <c r="S84" s="7">
        <v>3.75</v>
      </c>
      <c r="T84" t="s">
        <v>29</v>
      </c>
    </row>
    <row r="85" spans="1:20" x14ac:dyDescent="0.3">
      <c r="A85">
        <v>84</v>
      </c>
      <c r="B85" s="1">
        <v>44927</v>
      </c>
      <c r="C85">
        <v>2023</v>
      </c>
      <c r="D85">
        <v>1</v>
      </c>
      <c r="E85" t="s">
        <v>20</v>
      </c>
      <c r="F85">
        <v>1</v>
      </c>
      <c r="G85" t="s">
        <v>21</v>
      </c>
      <c r="H85" s="2">
        <v>46203.511458333334</v>
      </c>
      <c r="I85">
        <v>10</v>
      </c>
      <c r="J85" t="s">
        <v>22</v>
      </c>
      <c r="K85" s="8">
        <v>2</v>
      </c>
      <c r="L85">
        <v>5</v>
      </c>
      <c r="M85" t="s">
        <v>23</v>
      </c>
      <c r="N85">
        <v>32</v>
      </c>
      <c r="O85" t="s">
        <v>24</v>
      </c>
      <c r="P85" t="s">
        <v>25</v>
      </c>
      <c r="Q85" t="s">
        <v>26</v>
      </c>
      <c r="R85" s="7">
        <v>3</v>
      </c>
      <c r="S85" s="7">
        <v>6</v>
      </c>
      <c r="T85" t="s">
        <v>29</v>
      </c>
    </row>
    <row r="86" spans="1:20" x14ac:dyDescent="0.3">
      <c r="A86">
        <v>85</v>
      </c>
      <c r="B86" s="1">
        <v>44927</v>
      </c>
      <c r="C86">
        <v>2023</v>
      </c>
      <c r="D86">
        <v>1</v>
      </c>
      <c r="E86" t="s">
        <v>20</v>
      </c>
      <c r="F86">
        <v>1</v>
      </c>
      <c r="G86" t="s">
        <v>21</v>
      </c>
      <c r="H86" s="2">
        <v>46203.511493055557</v>
      </c>
      <c r="I86">
        <v>10</v>
      </c>
      <c r="J86" t="s">
        <v>22</v>
      </c>
      <c r="K86" s="8">
        <v>1</v>
      </c>
      <c r="L86">
        <v>8</v>
      </c>
      <c r="M86" t="s">
        <v>64</v>
      </c>
      <c r="N86">
        <v>54</v>
      </c>
      <c r="O86" t="s">
        <v>30</v>
      </c>
      <c r="P86" t="s">
        <v>31</v>
      </c>
      <c r="Q86" t="s">
        <v>87</v>
      </c>
      <c r="R86" s="7">
        <v>2.5</v>
      </c>
      <c r="S86" s="7">
        <v>2.5</v>
      </c>
      <c r="T86" t="s">
        <v>29</v>
      </c>
    </row>
    <row r="87" spans="1:20" x14ac:dyDescent="0.3">
      <c r="A87">
        <v>86</v>
      </c>
      <c r="B87" s="1">
        <v>44927</v>
      </c>
      <c r="C87">
        <v>2023</v>
      </c>
      <c r="D87">
        <v>1</v>
      </c>
      <c r="E87" t="s">
        <v>20</v>
      </c>
      <c r="F87">
        <v>1</v>
      </c>
      <c r="G87" t="s">
        <v>21</v>
      </c>
      <c r="H87" s="2">
        <v>46203.512662037036</v>
      </c>
      <c r="I87">
        <v>10</v>
      </c>
      <c r="J87" t="s">
        <v>22</v>
      </c>
      <c r="K87" s="8">
        <v>2</v>
      </c>
      <c r="L87">
        <v>8</v>
      </c>
      <c r="M87" t="s">
        <v>64</v>
      </c>
      <c r="N87">
        <v>41</v>
      </c>
      <c r="O87" t="s">
        <v>24</v>
      </c>
      <c r="P87" t="s">
        <v>48</v>
      </c>
      <c r="Q87" t="s">
        <v>105</v>
      </c>
      <c r="R87" s="7">
        <v>4.25</v>
      </c>
      <c r="S87" s="7">
        <v>8.5</v>
      </c>
      <c r="T87" t="s">
        <v>29</v>
      </c>
    </row>
    <row r="88" spans="1:20" x14ac:dyDescent="0.3">
      <c r="A88">
        <v>87</v>
      </c>
      <c r="B88" s="1">
        <v>44927</v>
      </c>
      <c r="C88">
        <v>2023</v>
      </c>
      <c r="D88">
        <v>1</v>
      </c>
      <c r="E88" t="s">
        <v>20</v>
      </c>
      <c r="F88">
        <v>1</v>
      </c>
      <c r="G88" t="s">
        <v>21</v>
      </c>
      <c r="H88" s="2">
        <v>46203.513101851851</v>
      </c>
      <c r="I88">
        <v>10</v>
      </c>
      <c r="J88" t="s">
        <v>22</v>
      </c>
      <c r="K88" s="8">
        <v>2</v>
      </c>
      <c r="L88">
        <v>5</v>
      </c>
      <c r="M88" t="s">
        <v>23</v>
      </c>
      <c r="N88">
        <v>25</v>
      </c>
      <c r="O88" t="s">
        <v>24</v>
      </c>
      <c r="P88" t="s">
        <v>82</v>
      </c>
      <c r="Q88" t="s">
        <v>96</v>
      </c>
      <c r="R88" s="7">
        <v>2.2000000000000002</v>
      </c>
      <c r="S88" s="7">
        <v>4.4000000000000004</v>
      </c>
      <c r="T88" t="s">
        <v>29</v>
      </c>
    </row>
    <row r="89" spans="1:20" x14ac:dyDescent="0.3">
      <c r="A89">
        <v>88</v>
      </c>
      <c r="B89" s="1">
        <v>44927</v>
      </c>
      <c r="C89">
        <v>2023</v>
      </c>
      <c r="D89">
        <v>1</v>
      </c>
      <c r="E89" t="s">
        <v>20</v>
      </c>
      <c r="F89">
        <v>1</v>
      </c>
      <c r="G89" t="s">
        <v>21</v>
      </c>
      <c r="H89" s="2">
        <v>46203.513680555552</v>
      </c>
      <c r="I89">
        <v>10</v>
      </c>
      <c r="J89" t="s">
        <v>22</v>
      </c>
      <c r="K89" s="8">
        <v>2</v>
      </c>
      <c r="L89">
        <v>5</v>
      </c>
      <c r="M89" t="s">
        <v>23</v>
      </c>
      <c r="N89">
        <v>23</v>
      </c>
      <c r="O89" t="s">
        <v>24</v>
      </c>
      <c r="P89" t="s">
        <v>40</v>
      </c>
      <c r="Q89" t="s">
        <v>94</v>
      </c>
      <c r="R89" s="7">
        <v>2.5</v>
      </c>
      <c r="S89" s="7">
        <v>5</v>
      </c>
      <c r="T89" t="s">
        <v>29</v>
      </c>
    </row>
    <row r="90" spans="1:20" x14ac:dyDescent="0.3">
      <c r="A90">
        <v>89</v>
      </c>
      <c r="B90" s="1">
        <v>44927</v>
      </c>
      <c r="C90">
        <v>2023</v>
      </c>
      <c r="D90">
        <v>1</v>
      </c>
      <c r="E90" t="s">
        <v>20</v>
      </c>
      <c r="F90">
        <v>1</v>
      </c>
      <c r="G90" t="s">
        <v>21</v>
      </c>
      <c r="H90" s="2">
        <v>46203.516886574071</v>
      </c>
      <c r="I90">
        <v>10</v>
      </c>
      <c r="J90" t="s">
        <v>22</v>
      </c>
      <c r="K90" s="8">
        <v>1</v>
      </c>
      <c r="L90">
        <v>8</v>
      </c>
      <c r="M90" t="s">
        <v>64</v>
      </c>
      <c r="N90">
        <v>54</v>
      </c>
      <c r="O90" t="s">
        <v>30</v>
      </c>
      <c r="P90" t="s">
        <v>31</v>
      </c>
      <c r="Q90" t="s">
        <v>87</v>
      </c>
      <c r="R90" s="7">
        <v>2.5</v>
      </c>
      <c r="S90" s="7">
        <v>2.5</v>
      </c>
      <c r="T90" t="s">
        <v>29</v>
      </c>
    </row>
    <row r="91" spans="1:20" x14ac:dyDescent="0.3">
      <c r="A91">
        <v>90</v>
      </c>
      <c r="B91" s="1">
        <v>44927</v>
      </c>
      <c r="C91">
        <v>2023</v>
      </c>
      <c r="D91">
        <v>1</v>
      </c>
      <c r="E91" t="s">
        <v>20</v>
      </c>
      <c r="F91">
        <v>1</v>
      </c>
      <c r="G91" t="s">
        <v>21</v>
      </c>
      <c r="H91" s="2">
        <v>46203.51761574074</v>
      </c>
      <c r="I91">
        <v>10</v>
      </c>
      <c r="J91" t="s">
        <v>22</v>
      </c>
      <c r="K91" s="8">
        <v>2</v>
      </c>
      <c r="L91">
        <v>8</v>
      </c>
      <c r="M91" t="s">
        <v>64</v>
      </c>
      <c r="N91">
        <v>56</v>
      </c>
      <c r="O91" t="s">
        <v>30</v>
      </c>
      <c r="P91" t="s">
        <v>31</v>
      </c>
      <c r="Q91" t="s">
        <v>54</v>
      </c>
      <c r="R91" s="7">
        <v>2.5499999999999998</v>
      </c>
      <c r="S91" s="7">
        <v>5.0999999999999996</v>
      </c>
      <c r="T91" t="s">
        <v>29</v>
      </c>
    </row>
    <row r="92" spans="1:20" x14ac:dyDescent="0.3">
      <c r="A92">
        <v>91</v>
      </c>
      <c r="B92" s="1">
        <v>44927</v>
      </c>
      <c r="C92">
        <v>2023</v>
      </c>
      <c r="D92">
        <v>1</v>
      </c>
      <c r="E92" t="s">
        <v>20</v>
      </c>
      <c r="F92">
        <v>1</v>
      </c>
      <c r="G92" t="s">
        <v>21</v>
      </c>
      <c r="H92" s="2">
        <v>46203.517881944441</v>
      </c>
      <c r="I92">
        <v>10</v>
      </c>
      <c r="J92" t="s">
        <v>22</v>
      </c>
      <c r="K92" s="8">
        <v>2</v>
      </c>
      <c r="L92">
        <v>5</v>
      </c>
      <c r="M92" t="s">
        <v>23</v>
      </c>
      <c r="N92">
        <v>58</v>
      </c>
      <c r="O92" t="s">
        <v>35</v>
      </c>
      <c r="P92" t="s">
        <v>36</v>
      </c>
      <c r="Q92" t="s">
        <v>51</v>
      </c>
      <c r="R92" s="7">
        <v>3.5</v>
      </c>
      <c r="S92" s="7">
        <v>7</v>
      </c>
      <c r="T92" t="s">
        <v>29</v>
      </c>
    </row>
    <row r="93" spans="1:20" x14ac:dyDescent="0.3">
      <c r="A93">
        <v>92</v>
      </c>
      <c r="B93" s="1">
        <v>44927</v>
      </c>
      <c r="C93">
        <v>2023</v>
      </c>
      <c r="D93">
        <v>1</v>
      </c>
      <c r="E93" t="s">
        <v>20</v>
      </c>
      <c r="F93">
        <v>1</v>
      </c>
      <c r="G93" t="s">
        <v>21</v>
      </c>
      <c r="H93" s="2">
        <v>46203.517881944441</v>
      </c>
      <c r="I93">
        <v>10</v>
      </c>
      <c r="J93" t="s">
        <v>22</v>
      </c>
      <c r="K93" s="8">
        <v>1</v>
      </c>
      <c r="L93">
        <v>5</v>
      </c>
      <c r="M93" t="s">
        <v>23</v>
      </c>
      <c r="N93">
        <v>74</v>
      </c>
      <c r="O93" t="s">
        <v>43</v>
      </c>
      <c r="P93" t="s">
        <v>71</v>
      </c>
      <c r="Q93" t="s">
        <v>103</v>
      </c>
      <c r="R93" s="7">
        <v>3.5</v>
      </c>
      <c r="S93" s="7">
        <v>3.5</v>
      </c>
      <c r="T93" t="s">
        <v>29</v>
      </c>
    </row>
    <row r="94" spans="1:20" x14ac:dyDescent="0.3">
      <c r="A94">
        <v>93</v>
      </c>
      <c r="B94" s="1">
        <v>44927</v>
      </c>
      <c r="C94">
        <v>2023</v>
      </c>
      <c r="D94">
        <v>1</v>
      </c>
      <c r="E94" t="s">
        <v>20</v>
      </c>
      <c r="F94">
        <v>1</v>
      </c>
      <c r="G94" t="s">
        <v>21</v>
      </c>
      <c r="H94" s="2">
        <v>46203.519305555557</v>
      </c>
      <c r="I94">
        <v>10</v>
      </c>
      <c r="J94" t="s">
        <v>22</v>
      </c>
      <c r="K94" s="8">
        <v>2</v>
      </c>
      <c r="L94">
        <v>8</v>
      </c>
      <c r="M94" t="s">
        <v>64</v>
      </c>
      <c r="N94">
        <v>47</v>
      </c>
      <c r="O94" t="s">
        <v>30</v>
      </c>
      <c r="P94" t="s">
        <v>60</v>
      </c>
      <c r="Q94" t="s">
        <v>61</v>
      </c>
      <c r="R94" s="7">
        <v>3</v>
      </c>
      <c r="S94" s="7">
        <v>6</v>
      </c>
      <c r="T94" t="s">
        <v>29</v>
      </c>
    </row>
    <row r="95" spans="1:20" x14ac:dyDescent="0.3">
      <c r="A95">
        <v>94</v>
      </c>
      <c r="B95" s="1">
        <v>44927</v>
      </c>
      <c r="C95">
        <v>2023</v>
      </c>
      <c r="D95">
        <v>1</v>
      </c>
      <c r="E95" t="s">
        <v>20</v>
      </c>
      <c r="F95">
        <v>1</v>
      </c>
      <c r="G95" t="s">
        <v>21</v>
      </c>
      <c r="H95" s="2">
        <v>46203.520914351851</v>
      </c>
      <c r="I95">
        <v>10</v>
      </c>
      <c r="J95" t="s">
        <v>22</v>
      </c>
      <c r="K95" s="8">
        <v>1</v>
      </c>
      <c r="L95">
        <v>5</v>
      </c>
      <c r="M95" t="s">
        <v>23</v>
      </c>
      <c r="N95">
        <v>35</v>
      </c>
      <c r="O95" t="s">
        <v>24</v>
      </c>
      <c r="P95" t="s">
        <v>99</v>
      </c>
      <c r="Q95" t="s">
        <v>110</v>
      </c>
      <c r="R95" s="7">
        <v>3.1</v>
      </c>
      <c r="S95" s="7">
        <v>3.1</v>
      </c>
      <c r="T95" t="s">
        <v>29</v>
      </c>
    </row>
    <row r="96" spans="1:20" x14ac:dyDescent="0.3">
      <c r="A96">
        <v>95</v>
      </c>
      <c r="B96" s="1">
        <v>44927</v>
      </c>
      <c r="C96">
        <v>2023</v>
      </c>
      <c r="D96">
        <v>1</v>
      </c>
      <c r="E96" t="s">
        <v>20</v>
      </c>
      <c r="F96">
        <v>1</v>
      </c>
      <c r="G96" t="s">
        <v>21</v>
      </c>
      <c r="H96" s="2">
        <v>46203.520914351851</v>
      </c>
      <c r="I96">
        <v>10</v>
      </c>
      <c r="J96" t="s">
        <v>22</v>
      </c>
      <c r="K96" s="8">
        <v>1</v>
      </c>
      <c r="L96">
        <v>5</v>
      </c>
      <c r="M96" t="s">
        <v>23</v>
      </c>
      <c r="N96">
        <v>70</v>
      </c>
      <c r="O96" t="s">
        <v>43</v>
      </c>
      <c r="P96" t="s">
        <v>44</v>
      </c>
      <c r="Q96" t="s">
        <v>111</v>
      </c>
      <c r="R96" s="7">
        <v>3.25</v>
      </c>
      <c r="S96" s="7">
        <v>3.25</v>
      </c>
      <c r="T96" t="s">
        <v>29</v>
      </c>
    </row>
    <row r="97" spans="1:20" x14ac:dyDescent="0.3">
      <c r="A97">
        <v>96</v>
      </c>
      <c r="B97" s="1">
        <v>44927</v>
      </c>
      <c r="C97">
        <v>2023</v>
      </c>
      <c r="D97">
        <v>1</v>
      </c>
      <c r="E97" t="s">
        <v>20</v>
      </c>
      <c r="F97">
        <v>1</v>
      </c>
      <c r="G97" t="s">
        <v>21</v>
      </c>
      <c r="H97" s="2">
        <v>46203.52484953704</v>
      </c>
      <c r="I97">
        <v>10</v>
      </c>
      <c r="J97" t="s">
        <v>22</v>
      </c>
      <c r="K97" s="8">
        <v>1</v>
      </c>
      <c r="L97">
        <v>8</v>
      </c>
      <c r="M97" t="s">
        <v>64</v>
      </c>
      <c r="N97">
        <v>60</v>
      </c>
      <c r="O97" t="s">
        <v>35</v>
      </c>
      <c r="P97" t="s">
        <v>36</v>
      </c>
      <c r="Q97" t="s">
        <v>90</v>
      </c>
      <c r="R97" s="7">
        <v>3.75</v>
      </c>
      <c r="S97" s="7">
        <v>3.75</v>
      </c>
      <c r="T97" t="s">
        <v>29</v>
      </c>
    </row>
    <row r="98" spans="1:20" x14ac:dyDescent="0.3">
      <c r="A98">
        <v>97</v>
      </c>
      <c r="B98" s="1">
        <v>44927</v>
      </c>
      <c r="C98">
        <v>2023</v>
      </c>
      <c r="D98">
        <v>1</v>
      </c>
      <c r="E98" t="s">
        <v>20</v>
      </c>
      <c r="F98">
        <v>1</v>
      </c>
      <c r="G98" t="s">
        <v>21</v>
      </c>
      <c r="H98" s="2">
        <v>46203.529085648152</v>
      </c>
      <c r="I98">
        <v>10</v>
      </c>
      <c r="J98" t="s">
        <v>22</v>
      </c>
      <c r="K98" s="8">
        <v>1</v>
      </c>
      <c r="L98">
        <v>5</v>
      </c>
      <c r="M98" t="s">
        <v>23</v>
      </c>
      <c r="N98">
        <v>59</v>
      </c>
      <c r="O98" t="s">
        <v>35</v>
      </c>
      <c r="P98" t="s">
        <v>36</v>
      </c>
      <c r="Q98" t="s">
        <v>37</v>
      </c>
      <c r="R98" s="7">
        <v>4.5</v>
      </c>
      <c r="S98" s="7">
        <v>4.5</v>
      </c>
      <c r="T98" t="s">
        <v>29</v>
      </c>
    </row>
    <row r="99" spans="1:20" x14ac:dyDescent="0.3">
      <c r="A99">
        <v>98</v>
      </c>
      <c r="B99" s="1">
        <v>44927</v>
      </c>
      <c r="C99">
        <v>2023</v>
      </c>
      <c r="D99">
        <v>1</v>
      </c>
      <c r="E99" t="s">
        <v>20</v>
      </c>
      <c r="F99">
        <v>1</v>
      </c>
      <c r="G99" t="s">
        <v>21</v>
      </c>
      <c r="H99" s="2">
        <v>46203.533252314817</v>
      </c>
      <c r="I99">
        <v>10</v>
      </c>
      <c r="J99" t="s">
        <v>22</v>
      </c>
      <c r="K99" s="8">
        <v>2</v>
      </c>
      <c r="L99">
        <v>5</v>
      </c>
      <c r="M99" t="s">
        <v>23</v>
      </c>
      <c r="N99">
        <v>36</v>
      </c>
      <c r="O99" t="s">
        <v>24</v>
      </c>
      <c r="P99" t="s">
        <v>99</v>
      </c>
      <c r="Q99" t="s">
        <v>102</v>
      </c>
      <c r="R99" s="7">
        <v>3.75</v>
      </c>
      <c r="S99" s="7">
        <v>7.5</v>
      </c>
      <c r="T99" t="s">
        <v>29</v>
      </c>
    </row>
    <row r="100" spans="1:20" x14ac:dyDescent="0.3">
      <c r="A100">
        <v>99</v>
      </c>
      <c r="B100" s="1">
        <v>44927</v>
      </c>
      <c r="C100">
        <v>2023</v>
      </c>
      <c r="D100">
        <v>1</v>
      </c>
      <c r="E100" t="s">
        <v>20</v>
      </c>
      <c r="F100">
        <v>1</v>
      </c>
      <c r="G100" t="s">
        <v>21</v>
      </c>
      <c r="H100" s="2">
        <v>46203.534178240741</v>
      </c>
      <c r="I100">
        <v>10</v>
      </c>
      <c r="J100" t="s">
        <v>22</v>
      </c>
      <c r="K100" s="8">
        <v>2</v>
      </c>
      <c r="L100">
        <v>8</v>
      </c>
      <c r="M100" t="s">
        <v>64</v>
      </c>
      <c r="N100">
        <v>51</v>
      </c>
      <c r="O100" t="s">
        <v>30</v>
      </c>
      <c r="P100" t="s">
        <v>57</v>
      </c>
      <c r="Q100" t="s">
        <v>58</v>
      </c>
      <c r="R100" s="7">
        <v>3</v>
      </c>
      <c r="S100" s="7">
        <v>6</v>
      </c>
      <c r="T100" t="s">
        <v>29</v>
      </c>
    </row>
    <row r="101" spans="1:20" x14ac:dyDescent="0.3">
      <c r="A101">
        <v>100</v>
      </c>
      <c r="B101" s="1">
        <v>44927</v>
      </c>
      <c r="C101">
        <v>2023</v>
      </c>
      <c r="D101">
        <v>1</v>
      </c>
      <c r="E101" t="s">
        <v>20</v>
      </c>
      <c r="F101">
        <v>1</v>
      </c>
      <c r="G101" t="s">
        <v>21</v>
      </c>
      <c r="H101" s="2">
        <v>46203.534618055557</v>
      </c>
      <c r="I101">
        <v>10</v>
      </c>
      <c r="J101" t="s">
        <v>22</v>
      </c>
      <c r="K101" s="8">
        <v>2</v>
      </c>
      <c r="L101">
        <v>5</v>
      </c>
      <c r="M101" t="s">
        <v>23</v>
      </c>
      <c r="N101">
        <v>61</v>
      </c>
      <c r="O101" t="s">
        <v>35</v>
      </c>
      <c r="P101" t="s">
        <v>36</v>
      </c>
      <c r="Q101" t="s">
        <v>68</v>
      </c>
      <c r="R101" s="7">
        <v>4.75</v>
      </c>
      <c r="S101" s="7">
        <v>9.5</v>
      </c>
      <c r="T101" t="s">
        <v>29</v>
      </c>
    </row>
    <row r="102" spans="1:20" x14ac:dyDescent="0.3">
      <c r="A102">
        <v>101</v>
      </c>
      <c r="B102" s="1">
        <v>44927</v>
      </c>
      <c r="C102">
        <v>2023</v>
      </c>
      <c r="D102">
        <v>1</v>
      </c>
      <c r="E102" t="s">
        <v>20</v>
      </c>
      <c r="F102">
        <v>1</v>
      </c>
      <c r="G102" t="s">
        <v>21</v>
      </c>
      <c r="H102" s="2">
        <v>46203.535613425927</v>
      </c>
      <c r="I102">
        <v>10</v>
      </c>
      <c r="J102" t="s">
        <v>22</v>
      </c>
      <c r="K102" s="8">
        <v>1</v>
      </c>
      <c r="L102">
        <v>5</v>
      </c>
      <c r="M102" t="s">
        <v>23</v>
      </c>
      <c r="N102">
        <v>47</v>
      </c>
      <c r="O102" t="s">
        <v>30</v>
      </c>
      <c r="P102" t="s">
        <v>60</v>
      </c>
      <c r="Q102" t="s">
        <v>61</v>
      </c>
      <c r="R102" s="7">
        <v>3</v>
      </c>
      <c r="S102" s="7">
        <v>3</v>
      </c>
      <c r="T102" t="s">
        <v>29</v>
      </c>
    </row>
    <row r="103" spans="1:20" x14ac:dyDescent="0.3">
      <c r="A103">
        <v>102</v>
      </c>
      <c r="B103" s="1">
        <v>44927</v>
      </c>
      <c r="C103">
        <v>2023</v>
      </c>
      <c r="D103">
        <v>1</v>
      </c>
      <c r="E103" t="s">
        <v>20</v>
      </c>
      <c r="F103">
        <v>1</v>
      </c>
      <c r="G103" t="s">
        <v>21</v>
      </c>
      <c r="H103" s="2">
        <v>46203.536620370367</v>
      </c>
      <c r="I103">
        <v>10</v>
      </c>
      <c r="J103" t="s">
        <v>22</v>
      </c>
      <c r="K103" s="8">
        <v>2</v>
      </c>
      <c r="L103">
        <v>8</v>
      </c>
      <c r="M103" t="s">
        <v>64</v>
      </c>
      <c r="N103">
        <v>23</v>
      </c>
      <c r="O103" t="s">
        <v>24</v>
      </c>
      <c r="P103" t="s">
        <v>40</v>
      </c>
      <c r="Q103" t="s">
        <v>94</v>
      </c>
      <c r="R103" s="7">
        <v>2.5</v>
      </c>
      <c r="S103" s="7">
        <v>5</v>
      </c>
      <c r="T103" t="s">
        <v>29</v>
      </c>
    </row>
    <row r="104" spans="1:20" x14ac:dyDescent="0.3">
      <c r="A104">
        <v>103</v>
      </c>
      <c r="B104" s="1">
        <v>44927</v>
      </c>
      <c r="C104">
        <v>2023</v>
      </c>
      <c r="D104">
        <v>1</v>
      </c>
      <c r="E104" t="s">
        <v>20</v>
      </c>
      <c r="F104">
        <v>1</v>
      </c>
      <c r="G104" t="s">
        <v>21</v>
      </c>
      <c r="H104" s="2">
        <v>46203.536620370367</v>
      </c>
      <c r="I104">
        <v>10</v>
      </c>
      <c r="J104" t="s">
        <v>22</v>
      </c>
      <c r="K104" s="8">
        <v>1</v>
      </c>
      <c r="L104">
        <v>8</v>
      </c>
      <c r="M104" t="s">
        <v>64</v>
      </c>
      <c r="N104">
        <v>73</v>
      </c>
      <c r="O104" t="s">
        <v>43</v>
      </c>
      <c r="P104" t="s">
        <v>78</v>
      </c>
      <c r="Q104" t="s">
        <v>113</v>
      </c>
      <c r="R104" s="7">
        <v>3.75</v>
      </c>
      <c r="S104" s="7">
        <v>3.75</v>
      </c>
      <c r="T104" t="s">
        <v>29</v>
      </c>
    </row>
    <row r="105" spans="1:20" x14ac:dyDescent="0.3">
      <c r="A105">
        <v>104</v>
      </c>
      <c r="B105" s="1">
        <v>44927</v>
      </c>
      <c r="C105">
        <v>2023</v>
      </c>
      <c r="D105">
        <v>1</v>
      </c>
      <c r="E105" t="s">
        <v>20</v>
      </c>
      <c r="F105">
        <v>1</v>
      </c>
      <c r="G105" t="s">
        <v>21</v>
      </c>
      <c r="H105" s="2">
        <v>46203.539050925923</v>
      </c>
      <c r="I105">
        <v>10</v>
      </c>
      <c r="J105" t="s">
        <v>22</v>
      </c>
      <c r="K105" s="8">
        <v>1</v>
      </c>
      <c r="L105">
        <v>5</v>
      </c>
      <c r="M105" t="s">
        <v>23</v>
      </c>
      <c r="N105">
        <v>38</v>
      </c>
      <c r="O105" t="s">
        <v>24</v>
      </c>
      <c r="P105" t="s">
        <v>48</v>
      </c>
      <c r="Q105" t="s">
        <v>81</v>
      </c>
      <c r="R105" s="7">
        <v>3.75</v>
      </c>
      <c r="S105" s="7">
        <v>3.75</v>
      </c>
      <c r="T105" t="s">
        <v>29</v>
      </c>
    </row>
    <row r="106" spans="1:20" x14ac:dyDescent="0.3">
      <c r="A106">
        <v>105</v>
      </c>
      <c r="B106" s="1">
        <v>44927</v>
      </c>
      <c r="C106">
        <v>2023</v>
      </c>
      <c r="D106">
        <v>1</v>
      </c>
      <c r="E106" t="s">
        <v>20</v>
      </c>
      <c r="F106">
        <v>1</v>
      </c>
      <c r="G106" t="s">
        <v>21</v>
      </c>
      <c r="H106" s="2">
        <v>46203.539050925923</v>
      </c>
      <c r="I106">
        <v>10</v>
      </c>
      <c r="J106" t="s">
        <v>22</v>
      </c>
      <c r="K106" s="8">
        <v>1</v>
      </c>
      <c r="L106">
        <v>5</v>
      </c>
      <c r="M106" t="s">
        <v>23</v>
      </c>
      <c r="N106">
        <v>76</v>
      </c>
      <c r="O106" t="s">
        <v>43</v>
      </c>
      <c r="P106" t="s">
        <v>71</v>
      </c>
      <c r="Q106" t="s">
        <v>76</v>
      </c>
      <c r="R106" s="7">
        <v>3.5</v>
      </c>
      <c r="S106" s="7">
        <v>3.5</v>
      </c>
      <c r="T106" t="s">
        <v>29</v>
      </c>
    </row>
    <row r="107" spans="1:20" x14ac:dyDescent="0.3">
      <c r="A107">
        <v>106</v>
      </c>
      <c r="B107" s="1">
        <v>44927</v>
      </c>
      <c r="C107">
        <v>2023</v>
      </c>
      <c r="D107">
        <v>1</v>
      </c>
      <c r="E107" t="s">
        <v>20</v>
      </c>
      <c r="F107">
        <v>1</v>
      </c>
      <c r="G107" t="s">
        <v>21</v>
      </c>
      <c r="H107" s="2">
        <v>46203.542916666665</v>
      </c>
      <c r="I107">
        <v>11</v>
      </c>
      <c r="J107" t="s">
        <v>22</v>
      </c>
      <c r="K107" s="8">
        <v>1</v>
      </c>
      <c r="L107">
        <v>3</v>
      </c>
      <c r="M107" t="s">
        <v>114</v>
      </c>
      <c r="N107">
        <v>22</v>
      </c>
      <c r="O107" t="s">
        <v>24</v>
      </c>
      <c r="P107" t="s">
        <v>40</v>
      </c>
      <c r="Q107" t="s">
        <v>41</v>
      </c>
      <c r="R107" s="7">
        <v>2</v>
      </c>
      <c r="S107" s="7">
        <v>2</v>
      </c>
      <c r="T107" t="s">
        <v>29</v>
      </c>
    </row>
    <row r="108" spans="1:20" x14ac:dyDescent="0.3">
      <c r="A108">
        <v>107</v>
      </c>
      <c r="B108" s="1">
        <v>44927</v>
      </c>
      <c r="C108">
        <v>2023</v>
      </c>
      <c r="D108">
        <v>1</v>
      </c>
      <c r="E108" t="s">
        <v>20</v>
      </c>
      <c r="F108">
        <v>1</v>
      </c>
      <c r="G108" t="s">
        <v>21</v>
      </c>
      <c r="H108" s="2">
        <v>46203.543032407404</v>
      </c>
      <c r="I108">
        <v>11</v>
      </c>
      <c r="J108" t="s">
        <v>22</v>
      </c>
      <c r="K108" s="8">
        <v>1</v>
      </c>
      <c r="L108">
        <v>3</v>
      </c>
      <c r="M108" t="s">
        <v>114</v>
      </c>
      <c r="N108">
        <v>38</v>
      </c>
      <c r="O108" t="s">
        <v>24</v>
      </c>
      <c r="P108" t="s">
        <v>48</v>
      </c>
      <c r="Q108" t="s">
        <v>81</v>
      </c>
      <c r="R108" s="7">
        <v>3.75</v>
      </c>
      <c r="S108" s="7">
        <v>3.75</v>
      </c>
      <c r="T108" t="s">
        <v>29</v>
      </c>
    </row>
    <row r="109" spans="1:20" x14ac:dyDescent="0.3">
      <c r="A109">
        <v>108</v>
      </c>
      <c r="B109" s="1">
        <v>44927</v>
      </c>
      <c r="C109">
        <v>2023</v>
      </c>
      <c r="D109">
        <v>1</v>
      </c>
      <c r="E109" t="s">
        <v>20</v>
      </c>
      <c r="F109">
        <v>1</v>
      </c>
      <c r="G109" t="s">
        <v>21</v>
      </c>
      <c r="H109" s="2">
        <v>46203.543032407404</v>
      </c>
      <c r="I109">
        <v>11</v>
      </c>
      <c r="J109" t="s">
        <v>22</v>
      </c>
      <c r="K109" s="8">
        <v>1</v>
      </c>
      <c r="L109">
        <v>3</v>
      </c>
      <c r="M109" t="s">
        <v>114</v>
      </c>
      <c r="N109">
        <v>75</v>
      </c>
      <c r="O109" t="s">
        <v>43</v>
      </c>
      <c r="P109" t="s">
        <v>78</v>
      </c>
      <c r="Q109" t="s">
        <v>115</v>
      </c>
      <c r="R109" s="7">
        <v>3.5</v>
      </c>
      <c r="S109" s="7">
        <v>3.5</v>
      </c>
      <c r="T109" t="s">
        <v>29</v>
      </c>
    </row>
    <row r="110" spans="1:20" x14ac:dyDescent="0.3">
      <c r="A110">
        <v>109</v>
      </c>
      <c r="B110" s="1">
        <v>44927</v>
      </c>
      <c r="C110">
        <v>2023</v>
      </c>
      <c r="D110">
        <v>1</v>
      </c>
      <c r="E110" t="s">
        <v>20</v>
      </c>
      <c r="F110">
        <v>1</v>
      </c>
      <c r="G110" t="s">
        <v>21</v>
      </c>
      <c r="H110" s="2">
        <v>46203.544039351851</v>
      </c>
      <c r="I110">
        <v>11</v>
      </c>
      <c r="J110" t="s">
        <v>22</v>
      </c>
      <c r="K110" s="8">
        <v>2</v>
      </c>
      <c r="L110">
        <v>5</v>
      </c>
      <c r="M110" t="s">
        <v>23</v>
      </c>
      <c r="N110">
        <v>47</v>
      </c>
      <c r="O110" t="s">
        <v>30</v>
      </c>
      <c r="P110" t="s">
        <v>60</v>
      </c>
      <c r="Q110" t="s">
        <v>61</v>
      </c>
      <c r="R110" s="7">
        <v>3</v>
      </c>
      <c r="S110" s="7">
        <v>6</v>
      </c>
      <c r="T110" t="s">
        <v>29</v>
      </c>
    </row>
    <row r="111" spans="1:20" x14ac:dyDescent="0.3">
      <c r="A111">
        <v>110</v>
      </c>
      <c r="B111" s="1">
        <v>44927</v>
      </c>
      <c r="C111">
        <v>2023</v>
      </c>
      <c r="D111">
        <v>1</v>
      </c>
      <c r="E111" t="s">
        <v>20</v>
      </c>
      <c r="F111">
        <v>1</v>
      </c>
      <c r="G111" t="s">
        <v>21</v>
      </c>
      <c r="H111" s="2">
        <v>46203.544039351851</v>
      </c>
      <c r="I111">
        <v>11</v>
      </c>
      <c r="J111" t="s">
        <v>22</v>
      </c>
      <c r="K111" s="8">
        <v>1</v>
      </c>
      <c r="L111">
        <v>5</v>
      </c>
      <c r="M111" t="s">
        <v>23</v>
      </c>
      <c r="N111">
        <v>75</v>
      </c>
      <c r="O111" t="s">
        <v>43</v>
      </c>
      <c r="P111" t="s">
        <v>78</v>
      </c>
      <c r="Q111" t="s">
        <v>115</v>
      </c>
      <c r="R111" s="7">
        <v>3.5</v>
      </c>
      <c r="S111" s="7">
        <v>3.5</v>
      </c>
      <c r="T111" t="s">
        <v>29</v>
      </c>
    </row>
    <row r="112" spans="1:20" x14ac:dyDescent="0.3">
      <c r="A112">
        <v>111</v>
      </c>
      <c r="B112" s="1">
        <v>44927</v>
      </c>
      <c r="C112">
        <v>2023</v>
      </c>
      <c r="D112">
        <v>1</v>
      </c>
      <c r="E112" t="s">
        <v>20</v>
      </c>
      <c r="F112">
        <v>1</v>
      </c>
      <c r="G112" t="s">
        <v>21</v>
      </c>
      <c r="H112" s="2">
        <v>46203.544814814813</v>
      </c>
      <c r="I112">
        <v>11</v>
      </c>
      <c r="J112" t="s">
        <v>22</v>
      </c>
      <c r="K112" s="8">
        <v>2</v>
      </c>
      <c r="L112">
        <v>8</v>
      </c>
      <c r="M112" t="s">
        <v>64</v>
      </c>
      <c r="N112">
        <v>39</v>
      </c>
      <c r="O112" t="s">
        <v>24</v>
      </c>
      <c r="P112" t="s">
        <v>48</v>
      </c>
      <c r="Q112" t="s">
        <v>49</v>
      </c>
      <c r="R112" s="7">
        <v>4.25</v>
      </c>
      <c r="S112" s="7">
        <v>8.5</v>
      </c>
      <c r="T112" t="s">
        <v>29</v>
      </c>
    </row>
    <row r="113" spans="1:20" x14ac:dyDescent="0.3">
      <c r="A113">
        <v>112</v>
      </c>
      <c r="B113" s="1">
        <v>44927</v>
      </c>
      <c r="C113">
        <v>2023</v>
      </c>
      <c r="D113">
        <v>1</v>
      </c>
      <c r="E113" t="s">
        <v>20</v>
      </c>
      <c r="F113">
        <v>1</v>
      </c>
      <c r="G113" t="s">
        <v>21</v>
      </c>
      <c r="H113" s="2">
        <v>46203.547349537039</v>
      </c>
      <c r="I113">
        <v>11</v>
      </c>
      <c r="J113" t="s">
        <v>22</v>
      </c>
      <c r="K113" s="8">
        <v>1</v>
      </c>
      <c r="L113">
        <v>3</v>
      </c>
      <c r="M113" t="s">
        <v>114</v>
      </c>
      <c r="N113">
        <v>59</v>
      </c>
      <c r="O113" t="s">
        <v>35</v>
      </c>
      <c r="P113" t="s">
        <v>36</v>
      </c>
      <c r="Q113" t="s">
        <v>37</v>
      </c>
      <c r="R113" s="7">
        <v>4.5</v>
      </c>
      <c r="S113" s="7">
        <v>4.5</v>
      </c>
      <c r="T113" t="s">
        <v>29</v>
      </c>
    </row>
    <row r="114" spans="1:20" x14ac:dyDescent="0.3">
      <c r="A114">
        <v>113</v>
      </c>
      <c r="B114" s="1">
        <v>44927</v>
      </c>
      <c r="C114">
        <v>2023</v>
      </c>
      <c r="D114">
        <v>1</v>
      </c>
      <c r="E114" t="s">
        <v>20</v>
      </c>
      <c r="F114">
        <v>1</v>
      </c>
      <c r="G114" t="s">
        <v>21</v>
      </c>
      <c r="H114" s="2">
        <v>46203.547905092593</v>
      </c>
      <c r="I114">
        <v>11</v>
      </c>
      <c r="J114" t="s">
        <v>22</v>
      </c>
      <c r="K114" s="8">
        <v>2</v>
      </c>
      <c r="L114">
        <v>8</v>
      </c>
      <c r="M114" t="s">
        <v>64</v>
      </c>
      <c r="N114">
        <v>51</v>
      </c>
      <c r="O114" t="s">
        <v>30</v>
      </c>
      <c r="P114" t="s">
        <v>57</v>
      </c>
      <c r="Q114" t="s">
        <v>58</v>
      </c>
      <c r="R114" s="7">
        <v>3</v>
      </c>
      <c r="S114" s="7">
        <v>6</v>
      </c>
      <c r="T114" t="s">
        <v>29</v>
      </c>
    </row>
    <row r="115" spans="1:20" x14ac:dyDescent="0.3">
      <c r="A115">
        <v>114</v>
      </c>
      <c r="B115" s="1">
        <v>44927</v>
      </c>
      <c r="C115">
        <v>2023</v>
      </c>
      <c r="D115">
        <v>1</v>
      </c>
      <c r="E115" t="s">
        <v>20</v>
      </c>
      <c r="F115">
        <v>1</v>
      </c>
      <c r="G115" t="s">
        <v>21</v>
      </c>
      <c r="H115" s="2">
        <v>46203.54792824074</v>
      </c>
      <c r="I115">
        <v>11</v>
      </c>
      <c r="J115" t="s">
        <v>22</v>
      </c>
      <c r="K115" s="8">
        <v>1</v>
      </c>
      <c r="L115">
        <v>3</v>
      </c>
      <c r="M115" t="s">
        <v>114</v>
      </c>
      <c r="N115">
        <v>59</v>
      </c>
      <c r="O115" t="s">
        <v>35</v>
      </c>
      <c r="P115" t="s">
        <v>36</v>
      </c>
      <c r="Q115" t="s">
        <v>37</v>
      </c>
      <c r="R115" s="7">
        <v>4.5</v>
      </c>
      <c r="S115" s="7">
        <v>4.5</v>
      </c>
      <c r="T115" t="s">
        <v>29</v>
      </c>
    </row>
    <row r="116" spans="1:20" x14ac:dyDescent="0.3">
      <c r="A116">
        <v>115</v>
      </c>
      <c r="B116" s="1">
        <v>44927</v>
      </c>
      <c r="C116">
        <v>2023</v>
      </c>
      <c r="D116">
        <v>1</v>
      </c>
      <c r="E116" t="s">
        <v>20</v>
      </c>
      <c r="F116">
        <v>1</v>
      </c>
      <c r="G116" t="s">
        <v>21</v>
      </c>
      <c r="H116" s="2">
        <v>46203.548854166664</v>
      </c>
      <c r="I116">
        <v>11</v>
      </c>
      <c r="J116" t="s">
        <v>22</v>
      </c>
      <c r="K116" s="8">
        <v>1</v>
      </c>
      <c r="L116">
        <v>3</v>
      </c>
      <c r="M116" t="s">
        <v>114</v>
      </c>
      <c r="N116">
        <v>47</v>
      </c>
      <c r="O116" t="s">
        <v>30</v>
      </c>
      <c r="P116" t="s">
        <v>60</v>
      </c>
      <c r="Q116" t="s">
        <v>61</v>
      </c>
      <c r="R116" s="7">
        <v>3</v>
      </c>
      <c r="S116" s="7">
        <v>3</v>
      </c>
      <c r="T116" t="s">
        <v>29</v>
      </c>
    </row>
    <row r="117" spans="1:20" x14ac:dyDescent="0.3">
      <c r="A117">
        <v>116</v>
      </c>
      <c r="B117" s="1">
        <v>44927</v>
      </c>
      <c r="C117">
        <v>2023</v>
      </c>
      <c r="D117">
        <v>1</v>
      </c>
      <c r="E117" t="s">
        <v>20</v>
      </c>
      <c r="F117">
        <v>1</v>
      </c>
      <c r="G117" t="s">
        <v>21</v>
      </c>
      <c r="H117" s="2">
        <v>46203.548854166664</v>
      </c>
      <c r="I117">
        <v>11</v>
      </c>
      <c r="J117" t="s">
        <v>22</v>
      </c>
      <c r="K117" s="8">
        <v>1</v>
      </c>
      <c r="L117">
        <v>3</v>
      </c>
      <c r="M117" t="s">
        <v>114</v>
      </c>
      <c r="N117">
        <v>79</v>
      </c>
      <c r="O117" t="s">
        <v>43</v>
      </c>
      <c r="P117" t="s">
        <v>44</v>
      </c>
      <c r="Q117" t="s">
        <v>62</v>
      </c>
      <c r="R117" s="7">
        <v>3.75</v>
      </c>
      <c r="S117" s="7">
        <v>3.75</v>
      </c>
      <c r="T117" t="s">
        <v>29</v>
      </c>
    </row>
    <row r="118" spans="1:20" x14ac:dyDescent="0.3">
      <c r="A118">
        <v>117</v>
      </c>
      <c r="B118" s="1">
        <v>44927</v>
      </c>
      <c r="C118">
        <v>2023</v>
      </c>
      <c r="D118">
        <v>1</v>
      </c>
      <c r="E118" t="s">
        <v>20</v>
      </c>
      <c r="F118">
        <v>1</v>
      </c>
      <c r="G118" t="s">
        <v>21</v>
      </c>
      <c r="H118" s="2">
        <v>46203.54928240741</v>
      </c>
      <c r="I118">
        <v>11</v>
      </c>
      <c r="J118" t="s">
        <v>22</v>
      </c>
      <c r="K118" s="8">
        <v>1</v>
      </c>
      <c r="L118">
        <v>3</v>
      </c>
      <c r="M118" t="s">
        <v>114</v>
      </c>
      <c r="N118">
        <v>46</v>
      </c>
      <c r="O118" t="s">
        <v>30</v>
      </c>
      <c r="P118" t="s">
        <v>60</v>
      </c>
      <c r="Q118" t="s">
        <v>95</v>
      </c>
      <c r="R118" s="7">
        <v>2.5</v>
      </c>
      <c r="S118" s="7">
        <v>2.5</v>
      </c>
      <c r="T118" t="s">
        <v>29</v>
      </c>
    </row>
    <row r="119" spans="1:20" x14ac:dyDescent="0.3">
      <c r="A119">
        <v>118</v>
      </c>
      <c r="B119" s="1">
        <v>44927</v>
      </c>
      <c r="C119">
        <v>2023</v>
      </c>
      <c r="D119">
        <v>1</v>
      </c>
      <c r="E119" t="s">
        <v>20</v>
      </c>
      <c r="F119">
        <v>1</v>
      </c>
      <c r="G119" t="s">
        <v>21</v>
      </c>
      <c r="H119" s="2">
        <v>46203.550335648149</v>
      </c>
      <c r="I119">
        <v>11</v>
      </c>
      <c r="J119" t="s">
        <v>22</v>
      </c>
      <c r="K119" s="8">
        <v>1</v>
      </c>
      <c r="L119">
        <v>3</v>
      </c>
      <c r="M119" t="s">
        <v>114</v>
      </c>
      <c r="N119">
        <v>43</v>
      </c>
      <c r="O119" t="s">
        <v>30</v>
      </c>
      <c r="P119" t="s">
        <v>65</v>
      </c>
      <c r="Q119" t="s">
        <v>75</v>
      </c>
      <c r="R119" s="7">
        <v>3</v>
      </c>
      <c r="S119" s="7">
        <v>3</v>
      </c>
      <c r="T119" t="s">
        <v>29</v>
      </c>
    </row>
    <row r="120" spans="1:20" x14ac:dyDescent="0.3">
      <c r="A120">
        <v>119</v>
      </c>
      <c r="B120" s="1">
        <v>44927</v>
      </c>
      <c r="C120">
        <v>2023</v>
      </c>
      <c r="D120">
        <v>1</v>
      </c>
      <c r="E120" t="s">
        <v>20</v>
      </c>
      <c r="F120">
        <v>1</v>
      </c>
      <c r="G120" t="s">
        <v>21</v>
      </c>
      <c r="H120" s="2">
        <v>46203.552800925929</v>
      </c>
      <c r="I120">
        <v>11</v>
      </c>
      <c r="J120" t="s">
        <v>22</v>
      </c>
      <c r="K120" s="8">
        <v>2</v>
      </c>
      <c r="L120">
        <v>3</v>
      </c>
      <c r="M120" t="s">
        <v>114</v>
      </c>
      <c r="N120">
        <v>45</v>
      </c>
      <c r="O120" t="s">
        <v>30</v>
      </c>
      <c r="P120" t="s">
        <v>65</v>
      </c>
      <c r="Q120" t="s">
        <v>77</v>
      </c>
      <c r="R120" s="7">
        <v>3</v>
      </c>
      <c r="S120" s="7">
        <v>6</v>
      </c>
      <c r="T120" t="s">
        <v>29</v>
      </c>
    </row>
    <row r="121" spans="1:20" x14ac:dyDescent="0.3">
      <c r="A121">
        <v>120</v>
      </c>
      <c r="B121" s="1">
        <v>44927</v>
      </c>
      <c r="C121">
        <v>2023</v>
      </c>
      <c r="D121">
        <v>1</v>
      </c>
      <c r="E121" t="s">
        <v>20</v>
      </c>
      <c r="F121">
        <v>1</v>
      </c>
      <c r="G121" t="s">
        <v>21</v>
      </c>
      <c r="H121" s="2">
        <v>46203.556250000001</v>
      </c>
      <c r="I121">
        <v>11</v>
      </c>
      <c r="J121" t="s">
        <v>22</v>
      </c>
      <c r="K121" s="8">
        <v>2</v>
      </c>
      <c r="L121">
        <v>8</v>
      </c>
      <c r="M121" t="s">
        <v>64</v>
      </c>
      <c r="N121">
        <v>54</v>
      </c>
      <c r="O121" t="s">
        <v>30</v>
      </c>
      <c r="P121" t="s">
        <v>31</v>
      </c>
      <c r="Q121" t="s">
        <v>87</v>
      </c>
      <c r="R121" s="7">
        <v>2.5</v>
      </c>
      <c r="S121" s="7">
        <v>5</v>
      </c>
      <c r="T121" t="s">
        <v>29</v>
      </c>
    </row>
    <row r="122" spans="1:20" x14ac:dyDescent="0.3">
      <c r="A122">
        <v>121</v>
      </c>
      <c r="B122" s="1">
        <v>44927</v>
      </c>
      <c r="C122">
        <v>2023</v>
      </c>
      <c r="D122">
        <v>1</v>
      </c>
      <c r="E122" t="s">
        <v>20</v>
      </c>
      <c r="F122">
        <v>1</v>
      </c>
      <c r="G122" t="s">
        <v>21</v>
      </c>
      <c r="H122" s="2">
        <v>46203.556296296294</v>
      </c>
      <c r="I122">
        <v>11</v>
      </c>
      <c r="J122" t="s">
        <v>22</v>
      </c>
      <c r="K122" s="8">
        <v>2</v>
      </c>
      <c r="L122">
        <v>5</v>
      </c>
      <c r="M122" t="s">
        <v>23</v>
      </c>
      <c r="N122">
        <v>51</v>
      </c>
      <c r="O122" t="s">
        <v>30</v>
      </c>
      <c r="P122" t="s">
        <v>57</v>
      </c>
      <c r="Q122" t="s">
        <v>58</v>
      </c>
      <c r="R122" s="7">
        <v>3</v>
      </c>
      <c r="S122" s="7">
        <v>6</v>
      </c>
      <c r="T122" t="s">
        <v>29</v>
      </c>
    </row>
    <row r="123" spans="1:20" x14ac:dyDescent="0.3">
      <c r="A123">
        <v>122</v>
      </c>
      <c r="B123" s="1">
        <v>44927</v>
      </c>
      <c r="C123">
        <v>2023</v>
      </c>
      <c r="D123">
        <v>1</v>
      </c>
      <c r="E123" t="s">
        <v>20</v>
      </c>
      <c r="F123">
        <v>1</v>
      </c>
      <c r="G123" t="s">
        <v>21</v>
      </c>
      <c r="H123" s="2">
        <v>46203.55641203704</v>
      </c>
      <c r="I123">
        <v>11</v>
      </c>
      <c r="J123" t="s">
        <v>22</v>
      </c>
      <c r="K123" s="8">
        <v>1</v>
      </c>
      <c r="L123">
        <v>3</v>
      </c>
      <c r="M123" t="s">
        <v>114</v>
      </c>
      <c r="N123">
        <v>60</v>
      </c>
      <c r="O123" t="s">
        <v>35</v>
      </c>
      <c r="P123" t="s">
        <v>36</v>
      </c>
      <c r="Q123" t="s">
        <v>90</v>
      </c>
      <c r="R123" s="7">
        <v>3.75</v>
      </c>
      <c r="S123" s="7">
        <v>3.75</v>
      </c>
      <c r="T123" t="s">
        <v>29</v>
      </c>
    </row>
    <row r="124" spans="1:20" x14ac:dyDescent="0.3">
      <c r="A124">
        <v>123</v>
      </c>
      <c r="B124" s="1">
        <v>44927</v>
      </c>
      <c r="C124">
        <v>2023</v>
      </c>
      <c r="D124">
        <v>1</v>
      </c>
      <c r="E124" t="s">
        <v>20</v>
      </c>
      <c r="F124">
        <v>1</v>
      </c>
      <c r="G124" t="s">
        <v>21</v>
      </c>
      <c r="H124" s="2">
        <v>46203.557650462964</v>
      </c>
      <c r="I124">
        <v>11</v>
      </c>
      <c r="J124" t="s">
        <v>22</v>
      </c>
      <c r="K124" s="8">
        <v>1</v>
      </c>
      <c r="L124">
        <v>8</v>
      </c>
      <c r="M124" t="s">
        <v>64</v>
      </c>
      <c r="N124">
        <v>31</v>
      </c>
      <c r="O124" t="s">
        <v>24</v>
      </c>
      <c r="P124" t="s">
        <v>25</v>
      </c>
      <c r="Q124" t="s">
        <v>116</v>
      </c>
      <c r="R124" s="7">
        <v>2.2000000000000002</v>
      </c>
      <c r="S124" s="7">
        <v>2.2000000000000002</v>
      </c>
      <c r="T124" t="s">
        <v>29</v>
      </c>
    </row>
    <row r="125" spans="1:20" x14ac:dyDescent="0.3">
      <c r="A125">
        <v>124</v>
      </c>
      <c r="B125" s="1">
        <v>44927</v>
      </c>
      <c r="C125">
        <v>2023</v>
      </c>
      <c r="D125">
        <v>1</v>
      </c>
      <c r="E125" t="s">
        <v>20</v>
      </c>
      <c r="F125">
        <v>1</v>
      </c>
      <c r="G125" t="s">
        <v>21</v>
      </c>
      <c r="H125" s="2">
        <v>46203.558136574073</v>
      </c>
      <c r="I125">
        <v>11</v>
      </c>
      <c r="J125" t="s">
        <v>22</v>
      </c>
      <c r="K125" s="8">
        <v>2</v>
      </c>
      <c r="L125">
        <v>5</v>
      </c>
      <c r="M125" t="s">
        <v>23</v>
      </c>
      <c r="N125">
        <v>60</v>
      </c>
      <c r="O125" t="s">
        <v>35</v>
      </c>
      <c r="P125" t="s">
        <v>36</v>
      </c>
      <c r="Q125" t="s">
        <v>90</v>
      </c>
      <c r="R125" s="7">
        <v>3.75</v>
      </c>
      <c r="S125" s="7">
        <v>7.5</v>
      </c>
      <c r="T125" t="s">
        <v>29</v>
      </c>
    </row>
    <row r="126" spans="1:20" x14ac:dyDescent="0.3">
      <c r="A126">
        <v>125</v>
      </c>
      <c r="B126" s="1">
        <v>44927</v>
      </c>
      <c r="C126">
        <v>2023</v>
      </c>
      <c r="D126">
        <v>1</v>
      </c>
      <c r="E126" t="s">
        <v>20</v>
      </c>
      <c r="F126">
        <v>1</v>
      </c>
      <c r="G126" t="s">
        <v>21</v>
      </c>
      <c r="H126" s="2">
        <v>46203.558136574073</v>
      </c>
      <c r="I126">
        <v>11</v>
      </c>
      <c r="J126" t="s">
        <v>22</v>
      </c>
      <c r="K126" s="8">
        <v>1</v>
      </c>
      <c r="L126">
        <v>5</v>
      </c>
      <c r="M126" t="s">
        <v>23</v>
      </c>
      <c r="N126">
        <v>77</v>
      </c>
      <c r="O126" t="s">
        <v>43</v>
      </c>
      <c r="P126" t="s">
        <v>44</v>
      </c>
      <c r="Q126" t="s">
        <v>45</v>
      </c>
      <c r="R126" s="7">
        <v>3</v>
      </c>
      <c r="S126" s="7">
        <v>3</v>
      </c>
      <c r="T126" t="s">
        <v>29</v>
      </c>
    </row>
    <row r="127" spans="1:20" x14ac:dyDescent="0.3">
      <c r="A127">
        <v>126</v>
      </c>
      <c r="B127" s="1">
        <v>44927</v>
      </c>
      <c r="C127">
        <v>2023</v>
      </c>
      <c r="D127">
        <v>1</v>
      </c>
      <c r="E127" t="s">
        <v>20</v>
      </c>
      <c r="F127">
        <v>1</v>
      </c>
      <c r="G127" t="s">
        <v>21</v>
      </c>
      <c r="H127" s="2">
        <v>46203.559432870374</v>
      </c>
      <c r="I127">
        <v>11</v>
      </c>
      <c r="J127" t="s">
        <v>22</v>
      </c>
      <c r="K127" s="8">
        <v>2</v>
      </c>
      <c r="L127">
        <v>3</v>
      </c>
      <c r="M127" t="s">
        <v>114</v>
      </c>
      <c r="N127">
        <v>49</v>
      </c>
      <c r="O127" t="s">
        <v>30</v>
      </c>
      <c r="P127" t="s">
        <v>57</v>
      </c>
      <c r="Q127" t="s">
        <v>117</v>
      </c>
      <c r="R127" s="7">
        <v>3</v>
      </c>
      <c r="S127" s="7">
        <v>6</v>
      </c>
      <c r="T127" t="s">
        <v>29</v>
      </c>
    </row>
    <row r="128" spans="1:20" x14ac:dyDescent="0.3">
      <c r="A128">
        <v>127</v>
      </c>
      <c r="B128" s="1">
        <v>44927</v>
      </c>
      <c r="C128">
        <v>2023</v>
      </c>
      <c r="D128">
        <v>1</v>
      </c>
      <c r="E128" t="s">
        <v>20</v>
      </c>
      <c r="F128">
        <v>1</v>
      </c>
      <c r="G128" t="s">
        <v>21</v>
      </c>
      <c r="H128" s="2">
        <v>46203.55945601852</v>
      </c>
      <c r="I128">
        <v>11</v>
      </c>
      <c r="J128" t="s">
        <v>22</v>
      </c>
      <c r="K128" s="8">
        <v>2</v>
      </c>
      <c r="L128">
        <v>5</v>
      </c>
      <c r="M128" t="s">
        <v>23</v>
      </c>
      <c r="N128">
        <v>40</v>
      </c>
      <c r="O128" t="s">
        <v>24</v>
      </c>
      <c r="P128" t="s">
        <v>48</v>
      </c>
      <c r="Q128" t="s">
        <v>74</v>
      </c>
      <c r="R128" s="7">
        <v>3.75</v>
      </c>
      <c r="S128" s="7">
        <v>7.5</v>
      </c>
      <c r="T128" t="s">
        <v>29</v>
      </c>
    </row>
    <row r="129" spans="1:20" x14ac:dyDescent="0.3">
      <c r="A129">
        <v>128</v>
      </c>
      <c r="B129" s="1">
        <v>44927</v>
      </c>
      <c r="C129">
        <v>2023</v>
      </c>
      <c r="D129">
        <v>1</v>
      </c>
      <c r="E129" t="s">
        <v>20</v>
      </c>
      <c r="F129">
        <v>1</v>
      </c>
      <c r="G129" t="s">
        <v>21</v>
      </c>
      <c r="H129" s="2">
        <v>46203.561284722222</v>
      </c>
      <c r="I129">
        <v>11</v>
      </c>
      <c r="J129" t="s">
        <v>22</v>
      </c>
      <c r="K129" s="8">
        <v>2</v>
      </c>
      <c r="L129">
        <v>8</v>
      </c>
      <c r="M129" t="s">
        <v>64</v>
      </c>
      <c r="N129">
        <v>44</v>
      </c>
      <c r="O129" t="s">
        <v>30</v>
      </c>
      <c r="P129" t="s">
        <v>65</v>
      </c>
      <c r="Q129" t="s">
        <v>92</v>
      </c>
      <c r="R129" s="7">
        <v>2.5</v>
      </c>
      <c r="S129" s="7">
        <v>5</v>
      </c>
      <c r="T129" t="s">
        <v>29</v>
      </c>
    </row>
    <row r="130" spans="1:20" x14ac:dyDescent="0.3">
      <c r="A130">
        <v>129</v>
      </c>
      <c r="B130" s="1">
        <v>44927</v>
      </c>
      <c r="C130">
        <v>2023</v>
      </c>
      <c r="D130">
        <v>1</v>
      </c>
      <c r="E130" t="s">
        <v>20</v>
      </c>
      <c r="F130">
        <v>1</v>
      </c>
      <c r="G130" t="s">
        <v>21</v>
      </c>
      <c r="H130" s="2">
        <v>46203.56144675926</v>
      </c>
      <c r="I130">
        <v>11</v>
      </c>
      <c r="J130" t="s">
        <v>22</v>
      </c>
      <c r="K130" s="8">
        <v>2</v>
      </c>
      <c r="L130">
        <v>3</v>
      </c>
      <c r="M130" t="s">
        <v>114</v>
      </c>
      <c r="N130">
        <v>33</v>
      </c>
      <c r="O130" t="s">
        <v>24</v>
      </c>
      <c r="P130" t="s">
        <v>25</v>
      </c>
      <c r="Q130" t="s">
        <v>56</v>
      </c>
      <c r="R130" s="7">
        <v>3.5</v>
      </c>
      <c r="S130" s="7">
        <v>7</v>
      </c>
      <c r="T130" t="s">
        <v>29</v>
      </c>
    </row>
    <row r="131" spans="1:20" x14ac:dyDescent="0.3">
      <c r="A131">
        <v>130</v>
      </c>
      <c r="B131" s="1">
        <v>44927</v>
      </c>
      <c r="C131">
        <v>2023</v>
      </c>
      <c r="D131">
        <v>1</v>
      </c>
      <c r="E131" t="s">
        <v>20</v>
      </c>
      <c r="F131">
        <v>1</v>
      </c>
      <c r="G131" t="s">
        <v>21</v>
      </c>
      <c r="H131" s="2">
        <v>46203.562094907407</v>
      </c>
      <c r="I131">
        <v>11</v>
      </c>
      <c r="J131" t="s">
        <v>22</v>
      </c>
      <c r="K131" s="8">
        <v>2</v>
      </c>
      <c r="L131">
        <v>5</v>
      </c>
      <c r="M131" t="s">
        <v>23</v>
      </c>
      <c r="N131">
        <v>56</v>
      </c>
      <c r="O131" t="s">
        <v>30</v>
      </c>
      <c r="P131" t="s">
        <v>31</v>
      </c>
      <c r="Q131" t="s">
        <v>54</v>
      </c>
      <c r="R131" s="7">
        <v>2.5499999999999998</v>
      </c>
      <c r="S131" s="7">
        <v>5.0999999999999996</v>
      </c>
      <c r="T131" t="s">
        <v>29</v>
      </c>
    </row>
    <row r="132" spans="1:20" x14ac:dyDescent="0.3">
      <c r="A132">
        <v>131</v>
      </c>
      <c r="B132" s="1">
        <v>44927</v>
      </c>
      <c r="C132">
        <v>2023</v>
      </c>
      <c r="D132">
        <v>1</v>
      </c>
      <c r="E132" t="s">
        <v>20</v>
      </c>
      <c r="F132">
        <v>1</v>
      </c>
      <c r="G132" t="s">
        <v>21</v>
      </c>
      <c r="H132" s="2">
        <v>46203.562465277777</v>
      </c>
      <c r="I132">
        <v>11</v>
      </c>
      <c r="J132" t="s">
        <v>22</v>
      </c>
      <c r="K132" s="8">
        <v>2</v>
      </c>
      <c r="L132">
        <v>8</v>
      </c>
      <c r="M132" t="s">
        <v>64</v>
      </c>
      <c r="N132">
        <v>35</v>
      </c>
      <c r="O132" t="s">
        <v>24</v>
      </c>
      <c r="P132" t="s">
        <v>99</v>
      </c>
      <c r="Q132" t="s">
        <v>110</v>
      </c>
      <c r="R132" s="7">
        <v>3.1</v>
      </c>
      <c r="S132" s="7">
        <v>6.2</v>
      </c>
      <c r="T132" t="s">
        <v>29</v>
      </c>
    </row>
    <row r="133" spans="1:20" x14ac:dyDescent="0.3">
      <c r="A133">
        <v>132</v>
      </c>
      <c r="B133" s="1">
        <v>44927</v>
      </c>
      <c r="C133">
        <v>2023</v>
      </c>
      <c r="D133">
        <v>1</v>
      </c>
      <c r="E133" t="s">
        <v>20</v>
      </c>
      <c r="F133">
        <v>1</v>
      </c>
      <c r="G133" t="s">
        <v>21</v>
      </c>
      <c r="H133" s="2">
        <v>46203.562465277777</v>
      </c>
      <c r="I133">
        <v>11</v>
      </c>
      <c r="J133" t="s">
        <v>22</v>
      </c>
      <c r="K133" s="8">
        <v>1</v>
      </c>
      <c r="L133">
        <v>8</v>
      </c>
      <c r="M133" t="s">
        <v>64</v>
      </c>
      <c r="N133">
        <v>78</v>
      </c>
      <c r="O133" t="s">
        <v>43</v>
      </c>
      <c r="P133" t="s">
        <v>44</v>
      </c>
      <c r="Q133" t="s">
        <v>91</v>
      </c>
      <c r="R133" s="7">
        <v>4.5</v>
      </c>
      <c r="S133" s="7">
        <v>4.5</v>
      </c>
      <c r="T133" t="s">
        <v>29</v>
      </c>
    </row>
    <row r="134" spans="1:20" x14ac:dyDescent="0.3">
      <c r="A134">
        <v>133</v>
      </c>
      <c r="B134" s="1">
        <v>44927</v>
      </c>
      <c r="C134">
        <v>2023</v>
      </c>
      <c r="D134">
        <v>1</v>
      </c>
      <c r="E134" t="s">
        <v>20</v>
      </c>
      <c r="F134">
        <v>1</v>
      </c>
      <c r="G134" t="s">
        <v>21</v>
      </c>
      <c r="H134" s="2">
        <v>46203.562754629631</v>
      </c>
      <c r="I134">
        <v>11</v>
      </c>
      <c r="J134" t="s">
        <v>22</v>
      </c>
      <c r="K134" s="8">
        <v>1</v>
      </c>
      <c r="L134">
        <v>8</v>
      </c>
      <c r="M134" t="s">
        <v>64</v>
      </c>
      <c r="N134">
        <v>23</v>
      </c>
      <c r="O134" t="s">
        <v>24</v>
      </c>
      <c r="P134" t="s">
        <v>40</v>
      </c>
      <c r="Q134" t="s">
        <v>94</v>
      </c>
      <c r="R134" s="7">
        <v>2.5</v>
      </c>
      <c r="S134" s="7">
        <v>2.5</v>
      </c>
      <c r="T134" t="s">
        <v>29</v>
      </c>
    </row>
    <row r="135" spans="1:20" x14ac:dyDescent="0.3">
      <c r="A135">
        <v>134</v>
      </c>
      <c r="B135" s="1">
        <v>44927</v>
      </c>
      <c r="C135">
        <v>2023</v>
      </c>
      <c r="D135">
        <v>1</v>
      </c>
      <c r="E135" t="s">
        <v>20</v>
      </c>
      <c r="F135">
        <v>1</v>
      </c>
      <c r="G135" t="s">
        <v>21</v>
      </c>
      <c r="H135" s="2">
        <v>46203.563599537039</v>
      </c>
      <c r="I135">
        <v>11</v>
      </c>
      <c r="J135" t="s">
        <v>22</v>
      </c>
      <c r="K135" s="8">
        <v>1</v>
      </c>
      <c r="L135">
        <v>8</v>
      </c>
      <c r="M135" t="s">
        <v>64</v>
      </c>
      <c r="N135">
        <v>24</v>
      </c>
      <c r="O135" t="s">
        <v>24</v>
      </c>
      <c r="P135" t="s">
        <v>40</v>
      </c>
      <c r="Q135" t="s">
        <v>89</v>
      </c>
      <c r="R135" s="7">
        <v>3</v>
      </c>
      <c r="S135" s="7">
        <v>3</v>
      </c>
      <c r="T135" t="s">
        <v>29</v>
      </c>
    </row>
    <row r="136" spans="1:20" x14ac:dyDescent="0.3">
      <c r="A136">
        <v>135</v>
      </c>
      <c r="B136" s="1">
        <v>44927</v>
      </c>
      <c r="C136">
        <v>2023</v>
      </c>
      <c r="D136">
        <v>1</v>
      </c>
      <c r="E136" t="s">
        <v>20</v>
      </c>
      <c r="F136">
        <v>1</v>
      </c>
      <c r="G136" t="s">
        <v>21</v>
      </c>
      <c r="H136" s="2">
        <v>46203.563692129632</v>
      </c>
      <c r="I136">
        <v>11</v>
      </c>
      <c r="J136" t="s">
        <v>22</v>
      </c>
      <c r="K136" s="8">
        <v>2</v>
      </c>
      <c r="L136">
        <v>5</v>
      </c>
      <c r="M136" t="s">
        <v>23</v>
      </c>
      <c r="N136">
        <v>51</v>
      </c>
      <c r="O136" t="s">
        <v>30</v>
      </c>
      <c r="P136" t="s">
        <v>57</v>
      </c>
      <c r="Q136" t="s">
        <v>58</v>
      </c>
      <c r="R136" s="7">
        <v>3</v>
      </c>
      <c r="S136" s="7">
        <v>6</v>
      </c>
      <c r="T136" t="s">
        <v>29</v>
      </c>
    </row>
    <row r="137" spans="1:20" x14ac:dyDescent="0.3">
      <c r="A137">
        <v>136</v>
      </c>
      <c r="B137" s="1">
        <v>44927</v>
      </c>
      <c r="C137">
        <v>2023</v>
      </c>
      <c r="D137">
        <v>1</v>
      </c>
      <c r="E137" t="s">
        <v>20</v>
      </c>
      <c r="F137">
        <v>1</v>
      </c>
      <c r="G137" t="s">
        <v>21</v>
      </c>
      <c r="H137" s="2">
        <v>46203.563692129632</v>
      </c>
      <c r="I137">
        <v>11</v>
      </c>
      <c r="J137" t="s">
        <v>22</v>
      </c>
      <c r="K137" s="8">
        <v>1</v>
      </c>
      <c r="L137">
        <v>5</v>
      </c>
      <c r="M137" t="s">
        <v>23</v>
      </c>
      <c r="N137">
        <v>72</v>
      </c>
      <c r="O137" t="s">
        <v>43</v>
      </c>
      <c r="P137" t="s">
        <v>44</v>
      </c>
      <c r="Q137" t="s">
        <v>109</v>
      </c>
      <c r="R137" s="7">
        <v>3.25</v>
      </c>
      <c r="S137" s="7">
        <v>3.25</v>
      </c>
      <c r="T137" t="s">
        <v>29</v>
      </c>
    </row>
    <row r="138" spans="1:20" x14ac:dyDescent="0.3">
      <c r="A138">
        <v>137</v>
      </c>
      <c r="B138" s="1">
        <v>44927</v>
      </c>
      <c r="C138">
        <v>2023</v>
      </c>
      <c r="D138">
        <v>1</v>
      </c>
      <c r="E138" t="s">
        <v>20</v>
      </c>
      <c r="F138">
        <v>1</v>
      </c>
      <c r="G138" t="s">
        <v>21</v>
      </c>
      <c r="H138" s="2">
        <v>46203.563807870371</v>
      </c>
      <c r="I138">
        <v>11</v>
      </c>
      <c r="J138" t="s">
        <v>22</v>
      </c>
      <c r="K138" s="8">
        <v>2</v>
      </c>
      <c r="L138">
        <v>5</v>
      </c>
      <c r="M138" t="s">
        <v>23</v>
      </c>
      <c r="N138">
        <v>54</v>
      </c>
      <c r="O138" t="s">
        <v>30</v>
      </c>
      <c r="P138" t="s">
        <v>31</v>
      </c>
      <c r="Q138" t="s">
        <v>87</v>
      </c>
      <c r="R138" s="7">
        <v>2.5</v>
      </c>
      <c r="S138" s="7">
        <v>5</v>
      </c>
      <c r="T138" t="s">
        <v>29</v>
      </c>
    </row>
    <row r="139" spans="1:20" x14ac:dyDescent="0.3">
      <c r="A139">
        <v>138</v>
      </c>
      <c r="B139" s="1">
        <v>44927</v>
      </c>
      <c r="C139">
        <v>2023</v>
      </c>
      <c r="D139">
        <v>1</v>
      </c>
      <c r="E139" t="s">
        <v>20</v>
      </c>
      <c r="F139">
        <v>1</v>
      </c>
      <c r="G139" t="s">
        <v>21</v>
      </c>
      <c r="H139" s="2">
        <v>46203.563807870371</v>
      </c>
      <c r="I139">
        <v>11</v>
      </c>
      <c r="J139" t="s">
        <v>22</v>
      </c>
      <c r="K139" s="8">
        <v>1</v>
      </c>
      <c r="L139">
        <v>5</v>
      </c>
      <c r="M139" t="s">
        <v>23</v>
      </c>
      <c r="N139">
        <v>75</v>
      </c>
      <c r="O139" t="s">
        <v>43</v>
      </c>
      <c r="P139" t="s">
        <v>78</v>
      </c>
      <c r="Q139" t="s">
        <v>115</v>
      </c>
      <c r="R139" s="7">
        <v>3.5</v>
      </c>
      <c r="S139" s="7">
        <v>3.5</v>
      </c>
      <c r="T139" t="s">
        <v>29</v>
      </c>
    </row>
    <row r="140" spans="1:20" x14ac:dyDescent="0.3">
      <c r="A140">
        <v>139</v>
      </c>
      <c r="B140" s="1">
        <v>44927</v>
      </c>
      <c r="C140">
        <v>2023</v>
      </c>
      <c r="D140">
        <v>1</v>
      </c>
      <c r="E140" t="s">
        <v>20</v>
      </c>
      <c r="F140">
        <v>1</v>
      </c>
      <c r="G140" t="s">
        <v>21</v>
      </c>
      <c r="H140" s="2">
        <v>46203.568912037037</v>
      </c>
      <c r="I140">
        <v>11</v>
      </c>
      <c r="J140" t="s">
        <v>22</v>
      </c>
      <c r="K140" s="8">
        <v>1</v>
      </c>
      <c r="L140">
        <v>5</v>
      </c>
      <c r="M140" t="s">
        <v>23</v>
      </c>
      <c r="N140">
        <v>60</v>
      </c>
      <c r="O140" t="s">
        <v>35</v>
      </c>
      <c r="P140" t="s">
        <v>36</v>
      </c>
      <c r="Q140" t="s">
        <v>90</v>
      </c>
      <c r="R140" s="7">
        <v>3.75</v>
      </c>
      <c r="S140" s="7">
        <v>3.75</v>
      </c>
      <c r="T140" t="s">
        <v>29</v>
      </c>
    </row>
    <row r="141" spans="1:20" x14ac:dyDescent="0.3">
      <c r="A141">
        <v>140</v>
      </c>
      <c r="B141" s="1">
        <v>44927</v>
      </c>
      <c r="C141">
        <v>2023</v>
      </c>
      <c r="D141">
        <v>1</v>
      </c>
      <c r="E141" t="s">
        <v>20</v>
      </c>
      <c r="F141">
        <v>1</v>
      </c>
      <c r="G141" t="s">
        <v>21</v>
      </c>
      <c r="H141" s="2">
        <v>46203.568912037037</v>
      </c>
      <c r="I141">
        <v>11</v>
      </c>
      <c r="J141" t="s">
        <v>22</v>
      </c>
      <c r="K141" s="8">
        <v>1</v>
      </c>
      <c r="L141">
        <v>5</v>
      </c>
      <c r="M141" t="s">
        <v>23</v>
      </c>
      <c r="N141">
        <v>71</v>
      </c>
      <c r="O141" t="s">
        <v>43</v>
      </c>
      <c r="P141" t="s">
        <v>78</v>
      </c>
      <c r="Q141" t="s">
        <v>79</v>
      </c>
      <c r="R141" s="7">
        <v>3.75</v>
      </c>
      <c r="S141" s="7">
        <v>3.75</v>
      </c>
      <c r="T141" t="s">
        <v>29</v>
      </c>
    </row>
    <row r="142" spans="1:20" x14ac:dyDescent="0.3">
      <c r="A142">
        <v>141</v>
      </c>
      <c r="B142" s="1">
        <v>44927</v>
      </c>
      <c r="C142">
        <v>2023</v>
      </c>
      <c r="D142">
        <v>1</v>
      </c>
      <c r="E142" t="s">
        <v>20</v>
      </c>
      <c r="F142">
        <v>1</v>
      </c>
      <c r="G142" t="s">
        <v>21</v>
      </c>
      <c r="H142" s="2">
        <v>46203.569745370369</v>
      </c>
      <c r="I142">
        <v>11</v>
      </c>
      <c r="J142" t="s">
        <v>22</v>
      </c>
      <c r="K142" s="8">
        <v>2</v>
      </c>
      <c r="L142">
        <v>3</v>
      </c>
      <c r="M142" t="s">
        <v>114</v>
      </c>
      <c r="N142">
        <v>52</v>
      </c>
      <c r="O142" t="s">
        <v>30</v>
      </c>
      <c r="P142" t="s">
        <v>31</v>
      </c>
      <c r="Q142" t="s">
        <v>118</v>
      </c>
      <c r="R142" s="7">
        <v>2.5</v>
      </c>
      <c r="S142" s="7">
        <v>5</v>
      </c>
      <c r="T142" t="s">
        <v>29</v>
      </c>
    </row>
    <row r="143" spans="1:20" x14ac:dyDescent="0.3">
      <c r="A143">
        <v>142</v>
      </c>
      <c r="B143" s="1">
        <v>44927</v>
      </c>
      <c r="C143">
        <v>2023</v>
      </c>
      <c r="D143">
        <v>1</v>
      </c>
      <c r="E143" t="s">
        <v>20</v>
      </c>
      <c r="F143">
        <v>1</v>
      </c>
      <c r="G143" t="s">
        <v>21</v>
      </c>
      <c r="H143" s="2">
        <v>46203.572187500002</v>
      </c>
      <c r="I143">
        <v>11</v>
      </c>
      <c r="J143" t="s">
        <v>22</v>
      </c>
      <c r="K143" s="8">
        <v>2</v>
      </c>
      <c r="L143">
        <v>3</v>
      </c>
      <c r="M143" t="s">
        <v>114</v>
      </c>
      <c r="N143">
        <v>25</v>
      </c>
      <c r="O143" t="s">
        <v>24</v>
      </c>
      <c r="P143" t="s">
        <v>82</v>
      </c>
      <c r="Q143" t="s">
        <v>96</v>
      </c>
      <c r="R143" s="7">
        <v>2.2000000000000002</v>
      </c>
      <c r="S143" s="7">
        <v>4.4000000000000004</v>
      </c>
      <c r="T143" t="s">
        <v>29</v>
      </c>
    </row>
    <row r="144" spans="1:20" x14ac:dyDescent="0.3">
      <c r="A144">
        <v>143</v>
      </c>
      <c r="B144" s="1">
        <v>44927</v>
      </c>
      <c r="C144">
        <v>2023</v>
      </c>
      <c r="D144">
        <v>1</v>
      </c>
      <c r="E144" t="s">
        <v>20</v>
      </c>
      <c r="F144">
        <v>1</v>
      </c>
      <c r="G144" t="s">
        <v>21</v>
      </c>
      <c r="H144" s="2">
        <v>46203.572326388887</v>
      </c>
      <c r="I144">
        <v>11</v>
      </c>
      <c r="J144" t="s">
        <v>22</v>
      </c>
      <c r="K144" s="8">
        <v>1</v>
      </c>
      <c r="L144">
        <v>5</v>
      </c>
      <c r="M144" t="s">
        <v>23</v>
      </c>
      <c r="N144">
        <v>38</v>
      </c>
      <c r="O144" t="s">
        <v>24</v>
      </c>
      <c r="P144" t="s">
        <v>48</v>
      </c>
      <c r="Q144" t="s">
        <v>81</v>
      </c>
      <c r="R144" s="7">
        <v>3.75</v>
      </c>
      <c r="S144" s="7">
        <v>3.75</v>
      </c>
      <c r="T144" t="s">
        <v>29</v>
      </c>
    </row>
    <row r="145" spans="1:20" x14ac:dyDescent="0.3">
      <c r="A145">
        <v>144</v>
      </c>
      <c r="B145" s="1">
        <v>44927</v>
      </c>
      <c r="C145">
        <v>2023</v>
      </c>
      <c r="D145">
        <v>1</v>
      </c>
      <c r="E145" t="s">
        <v>20</v>
      </c>
      <c r="F145">
        <v>1</v>
      </c>
      <c r="G145" t="s">
        <v>21</v>
      </c>
      <c r="H145" s="2">
        <v>46203.574456018519</v>
      </c>
      <c r="I145">
        <v>11</v>
      </c>
      <c r="J145" t="s">
        <v>22</v>
      </c>
      <c r="K145" s="8">
        <v>1</v>
      </c>
      <c r="L145">
        <v>3</v>
      </c>
      <c r="M145" t="s">
        <v>114</v>
      </c>
      <c r="N145">
        <v>30</v>
      </c>
      <c r="O145" t="s">
        <v>24</v>
      </c>
      <c r="P145" t="s">
        <v>25</v>
      </c>
      <c r="Q145" t="s">
        <v>119</v>
      </c>
      <c r="R145" s="7">
        <v>3</v>
      </c>
      <c r="S145" s="7">
        <v>3</v>
      </c>
      <c r="T145" t="s">
        <v>29</v>
      </c>
    </row>
    <row r="146" spans="1:20" x14ac:dyDescent="0.3">
      <c r="A146">
        <v>145</v>
      </c>
      <c r="B146" s="1">
        <v>44927</v>
      </c>
      <c r="C146">
        <v>2023</v>
      </c>
      <c r="D146">
        <v>1</v>
      </c>
      <c r="E146" t="s">
        <v>20</v>
      </c>
      <c r="F146">
        <v>1</v>
      </c>
      <c r="G146" t="s">
        <v>21</v>
      </c>
      <c r="H146" s="2">
        <v>46203.575648148151</v>
      </c>
      <c r="I146">
        <v>11</v>
      </c>
      <c r="J146" t="s">
        <v>22</v>
      </c>
      <c r="K146" s="8">
        <v>2</v>
      </c>
      <c r="L146">
        <v>8</v>
      </c>
      <c r="M146" t="s">
        <v>64</v>
      </c>
      <c r="N146">
        <v>50</v>
      </c>
      <c r="O146" t="s">
        <v>30</v>
      </c>
      <c r="P146" t="s">
        <v>57</v>
      </c>
      <c r="Q146" t="s">
        <v>108</v>
      </c>
      <c r="R146" s="7">
        <v>2.5</v>
      </c>
      <c r="S146" s="7">
        <v>5</v>
      </c>
      <c r="T146" t="s">
        <v>29</v>
      </c>
    </row>
    <row r="147" spans="1:20" x14ac:dyDescent="0.3">
      <c r="A147">
        <v>146</v>
      </c>
      <c r="B147" s="1">
        <v>44927</v>
      </c>
      <c r="C147">
        <v>2023</v>
      </c>
      <c r="D147">
        <v>1</v>
      </c>
      <c r="E147" t="s">
        <v>20</v>
      </c>
      <c r="F147">
        <v>1</v>
      </c>
      <c r="G147" t="s">
        <v>21</v>
      </c>
      <c r="H147" s="2">
        <v>46203.576180555552</v>
      </c>
      <c r="I147">
        <v>11</v>
      </c>
      <c r="J147" t="s">
        <v>22</v>
      </c>
      <c r="K147" s="8">
        <v>1</v>
      </c>
      <c r="L147">
        <v>8</v>
      </c>
      <c r="M147" t="s">
        <v>64</v>
      </c>
      <c r="N147">
        <v>54</v>
      </c>
      <c r="O147" t="s">
        <v>30</v>
      </c>
      <c r="P147" t="s">
        <v>31</v>
      </c>
      <c r="Q147" t="s">
        <v>87</v>
      </c>
      <c r="R147" s="7">
        <v>2.5</v>
      </c>
      <c r="S147" s="7">
        <v>2.5</v>
      </c>
      <c r="T147" t="s">
        <v>29</v>
      </c>
    </row>
    <row r="148" spans="1:20" x14ac:dyDescent="0.3">
      <c r="A148">
        <v>147</v>
      </c>
      <c r="B148" s="1">
        <v>44927</v>
      </c>
      <c r="C148">
        <v>2023</v>
      </c>
      <c r="D148">
        <v>1</v>
      </c>
      <c r="E148" t="s">
        <v>20</v>
      </c>
      <c r="F148">
        <v>1</v>
      </c>
      <c r="G148" t="s">
        <v>21</v>
      </c>
      <c r="H148" s="2">
        <v>46203.576180555552</v>
      </c>
      <c r="I148">
        <v>11</v>
      </c>
      <c r="J148" t="s">
        <v>22</v>
      </c>
      <c r="K148" s="8">
        <v>1</v>
      </c>
      <c r="L148">
        <v>8</v>
      </c>
      <c r="M148" t="s">
        <v>64</v>
      </c>
      <c r="N148">
        <v>72</v>
      </c>
      <c r="O148" t="s">
        <v>43</v>
      </c>
      <c r="P148" t="s">
        <v>44</v>
      </c>
      <c r="Q148" t="s">
        <v>109</v>
      </c>
      <c r="R148" s="7">
        <v>3.25</v>
      </c>
      <c r="S148" s="7">
        <v>3.25</v>
      </c>
      <c r="T148" t="s">
        <v>29</v>
      </c>
    </row>
    <row r="149" spans="1:20" x14ac:dyDescent="0.3">
      <c r="A149">
        <v>148</v>
      </c>
      <c r="B149" s="1">
        <v>44927</v>
      </c>
      <c r="C149">
        <v>2023</v>
      </c>
      <c r="D149">
        <v>1</v>
      </c>
      <c r="E149" t="s">
        <v>20</v>
      </c>
      <c r="F149">
        <v>1</v>
      </c>
      <c r="G149" t="s">
        <v>21</v>
      </c>
      <c r="H149" s="2">
        <v>46203.576574074075</v>
      </c>
      <c r="I149">
        <v>11</v>
      </c>
      <c r="J149" t="s">
        <v>22</v>
      </c>
      <c r="K149" s="8">
        <v>2</v>
      </c>
      <c r="L149">
        <v>3</v>
      </c>
      <c r="M149" t="s">
        <v>114</v>
      </c>
      <c r="N149">
        <v>26</v>
      </c>
      <c r="O149" t="s">
        <v>24</v>
      </c>
      <c r="P149" t="s">
        <v>82</v>
      </c>
      <c r="Q149" t="s">
        <v>83</v>
      </c>
      <c r="R149" s="7">
        <v>3</v>
      </c>
      <c r="S149" s="7">
        <v>6</v>
      </c>
      <c r="T149" t="s">
        <v>29</v>
      </c>
    </row>
    <row r="150" spans="1:20" x14ac:dyDescent="0.3">
      <c r="A150">
        <v>149</v>
      </c>
      <c r="B150" s="1">
        <v>44927</v>
      </c>
      <c r="C150">
        <v>2023</v>
      </c>
      <c r="D150">
        <v>1</v>
      </c>
      <c r="E150" t="s">
        <v>20</v>
      </c>
      <c r="F150">
        <v>1</v>
      </c>
      <c r="G150" t="s">
        <v>21</v>
      </c>
      <c r="H150" s="2">
        <v>46203.576655092591</v>
      </c>
      <c r="I150">
        <v>11</v>
      </c>
      <c r="J150" t="s">
        <v>22</v>
      </c>
      <c r="K150" s="8">
        <v>2</v>
      </c>
      <c r="L150">
        <v>3</v>
      </c>
      <c r="M150" t="s">
        <v>114</v>
      </c>
      <c r="N150">
        <v>36</v>
      </c>
      <c r="O150" t="s">
        <v>24</v>
      </c>
      <c r="P150" t="s">
        <v>99</v>
      </c>
      <c r="Q150" t="s">
        <v>102</v>
      </c>
      <c r="R150" s="7">
        <v>3.75</v>
      </c>
      <c r="S150" s="7">
        <v>7.5</v>
      </c>
      <c r="T150" t="s">
        <v>29</v>
      </c>
    </row>
    <row r="151" spans="1:20" x14ac:dyDescent="0.3">
      <c r="A151">
        <v>150</v>
      </c>
      <c r="B151" s="1">
        <v>44927</v>
      </c>
      <c r="C151">
        <v>2023</v>
      </c>
      <c r="D151">
        <v>1</v>
      </c>
      <c r="E151" t="s">
        <v>20</v>
      </c>
      <c r="F151">
        <v>1</v>
      </c>
      <c r="G151" t="s">
        <v>21</v>
      </c>
      <c r="H151" s="2">
        <v>46203.577060185184</v>
      </c>
      <c r="I151">
        <v>11</v>
      </c>
      <c r="J151" t="s">
        <v>22</v>
      </c>
      <c r="K151" s="8">
        <v>2</v>
      </c>
      <c r="L151">
        <v>5</v>
      </c>
      <c r="M151" t="s">
        <v>23</v>
      </c>
      <c r="N151">
        <v>45</v>
      </c>
      <c r="O151" t="s">
        <v>30</v>
      </c>
      <c r="P151" t="s">
        <v>65</v>
      </c>
      <c r="Q151" t="s">
        <v>77</v>
      </c>
      <c r="R151" s="7">
        <v>3</v>
      </c>
      <c r="S151" s="7">
        <v>6</v>
      </c>
      <c r="T151" t="s">
        <v>29</v>
      </c>
    </row>
    <row r="152" spans="1:20" x14ac:dyDescent="0.3">
      <c r="A152">
        <v>151</v>
      </c>
      <c r="B152" s="1">
        <v>44927</v>
      </c>
      <c r="C152">
        <v>2023</v>
      </c>
      <c r="D152">
        <v>1</v>
      </c>
      <c r="E152" t="s">
        <v>20</v>
      </c>
      <c r="F152">
        <v>1</v>
      </c>
      <c r="G152" t="s">
        <v>21</v>
      </c>
      <c r="H152" s="2">
        <v>46203.577430555553</v>
      </c>
      <c r="I152">
        <v>11</v>
      </c>
      <c r="J152" t="s">
        <v>22</v>
      </c>
      <c r="K152" s="8">
        <v>2</v>
      </c>
      <c r="L152">
        <v>8</v>
      </c>
      <c r="M152" t="s">
        <v>64</v>
      </c>
      <c r="N152">
        <v>33</v>
      </c>
      <c r="O152" t="s">
        <v>24</v>
      </c>
      <c r="P152" t="s">
        <v>25</v>
      </c>
      <c r="Q152" t="s">
        <v>56</v>
      </c>
      <c r="R152" s="7">
        <v>3.5</v>
      </c>
      <c r="S152" s="7">
        <v>7</v>
      </c>
      <c r="T152" t="s">
        <v>29</v>
      </c>
    </row>
    <row r="153" spans="1:20" x14ac:dyDescent="0.3">
      <c r="A153">
        <v>152</v>
      </c>
      <c r="B153" s="1">
        <v>44927</v>
      </c>
      <c r="C153">
        <v>2023</v>
      </c>
      <c r="D153">
        <v>1</v>
      </c>
      <c r="E153" t="s">
        <v>20</v>
      </c>
      <c r="F153">
        <v>1</v>
      </c>
      <c r="G153" t="s">
        <v>21</v>
      </c>
      <c r="H153" s="2">
        <v>46203.578136574077</v>
      </c>
      <c r="I153">
        <v>11</v>
      </c>
      <c r="J153" t="s">
        <v>22</v>
      </c>
      <c r="K153" s="8">
        <v>1</v>
      </c>
      <c r="L153">
        <v>5</v>
      </c>
      <c r="M153" t="s">
        <v>23</v>
      </c>
      <c r="N153">
        <v>57</v>
      </c>
      <c r="O153" t="s">
        <v>30</v>
      </c>
      <c r="P153" t="s">
        <v>31</v>
      </c>
      <c r="Q153" t="s">
        <v>32</v>
      </c>
      <c r="R153" s="7">
        <v>3.1</v>
      </c>
      <c r="S153" s="7">
        <v>3.1</v>
      </c>
      <c r="T153" t="s">
        <v>29</v>
      </c>
    </row>
    <row r="154" spans="1:20" x14ac:dyDescent="0.3">
      <c r="A154">
        <v>153</v>
      </c>
      <c r="B154" s="1">
        <v>44927</v>
      </c>
      <c r="C154">
        <v>2023</v>
      </c>
      <c r="D154">
        <v>1</v>
      </c>
      <c r="E154" t="s">
        <v>20</v>
      </c>
      <c r="F154">
        <v>1</v>
      </c>
      <c r="G154" t="s">
        <v>21</v>
      </c>
      <c r="H154" s="2">
        <v>46203.581446759257</v>
      </c>
      <c r="I154">
        <v>11</v>
      </c>
      <c r="J154" t="s">
        <v>22</v>
      </c>
      <c r="K154" s="8">
        <v>2</v>
      </c>
      <c r="L154">
        <v>3</v>
      </c>
      <c r="M154" t="s">
        <v>114</v>
      </c>
      <c r="N154">
        <v>37</v>
      </c>
      <c r="O154" t="s">
        <v>24</v>
      </c>
      <c r="P154" t="s">
        <v>48</v>
      </c>
      <c r="Q154" t="s">
        <v>107</v>
      </c>
      <c r="R154" s="7">
        <v>3</v>
      </c>
      <c r="S154" s="7">
        <v>6</v>
      </c>
      <c r="T154" t="s">
        <v>29</v>
      </c>
    </row>
    <row r="155" spans="1:20" x14ac:dyDescent="0.3">
      <c r="A155">
        <v>154</v>
      </c>
      <c r="B155" s="1">
        <v>44927</v>
      </c>
      <c r="C155">
        <v>2023</v>
      </c>
      <c r="D155">
        <v>1</v>
      </c>
      <c r="E155" t="s">
        <v>20</v>
      </c>
      <c r="F155">
        <v>1</v>
      </c>
      <c r="G155" t="s">
        <v>21</v>
      </c>
      <c r="H155" s="2">
        <v>46203.581932870373</v>
      </c>
      <c r="I155">
        <v>11</v>
      </c>
      <c r="J155" t="s">
        <v>22</v>
      </c>
      <c r="K155" s="8">
        <v>1</v>
      </c>
      <c r="L155">
        <v>3</v>
      </c>
      <c r="M155" t="s">
        <v>114</v>
      </c>
      <c r="N155">
        <v>50</v>
      </c>
      <c r="O155" t="s">
        <v>30</v>
      </c>
      <c r="P155" t="s">
        <v>57</v>
      </c>
      <c r="Q155" t="s">
        <v>108</v>
      </c>
      <c r="R155" s="7">
        <v>2.5</v>
      </c>
      <c r="S155" s="7">
        <v>2.5</v>
      </c>
      <c r="T155" t="s">
        <v>29</v>
      </c>
    </row>
    <row r="156" spans="1:20" x14ac:dyDescent="0.3">
      <c r="A156">
        <v>155</v>
      </c>
      <c r="B156" s="1">
        <v>44927</v>
      </c>
      <c r="C156">
        <v>2023</v>
      </c>
      <c r="D156">
        <v>1</v>
      </c>
      <c r="E156" t="s">
        <v>20</v>
      </c>
      <c r="F156">
        <v>1</v>
      </c>
      <c r="G156" t="s">
        <v>21</v>
      </c>
      <c r="H156" s="2">
        <v>46203.581932870373</v>
      </c>
      <c r="I156">
        <v>11</v>
      </c>
      <c r="J156" t="s">
        <v>22</v>
      </c>
      <c r="K156" s="8">
        <v>1</v>
      </c>
      <c r="L156">
        <v>3</v>
      </c>
      <c r="M156" t="s">
        <v>114</v>
      </c>
      <c r="N156">
        <v>79</v>
      </c>
      <c r="O156" t="s">
        <v>43</v>
      </c>
      <c r="P156" t="s">
        <v>44</v>
      </c>
      <c r="Q156" t="s">
        <v>62</v>
      </c>
      <c r="R156" s="7">
        <v>3.75</v>
      </c>
      <c r="S156" s="7">
        <v>3.75</v>
      </c>
      <c r="T156" t="s">
        <v>29</v>
      </c>
    </row>
    <row r="157" spans="1:20" x14ac:dyDescent="0.3">
      <c r="A157">
        <v>156</v>
      </c>
      <c r="B157" s="1">
        <v>44927</v>
      </c>
      <c r="C157">
        <v>2023</v>
      </c>
      <c r="D157">
        <v>1</v>
      </c>
      <c r="E157" t="s">
        <v>20</v>
      </c>
      <c r="F157">
        <v>1</v>
      </c>
      <c r="G157" t="s">
        <v>21</v>
      </c>
      <c r="H157" s="2">
        <v>46203.582118055558</v>
      </c>
      <c r="I157">
        <v>11</v>
      </c>
      <c r="J157" t="s">
        <v>22</v>
      </c>
      <c r="K157" s="8">
        <v>2</v>
      </c>
      <c r="L157">
        <v>3</v>
      </c>
      <c r="M157" t="s">
        <v>114</v>
      </c>
      <c r="N157">
        <v>60</v>
      </c>
      <c r="O157" t="s">
        <v>35</v>
      </c>
      <c r="P157" t="s">
        <v>36</v>
      </c>
      <c r="Q157" t="s">
        <v>90</v>
      </c>
      <c r="R157" s="7">
        <v>3.75</v>
      </c>
      <c r="S157" s="7">
        <v>7.5</v>
      </c>
      <c r="T157" t="s">
        <v>29</v>
      </c>
    </row>
    <row r="158" spans="1:20" x14ac:dyDescent="0.3">
      <c r="A158">
        <v>157</v>
      </c>
      <c r="B158" s="1">
        <v>44927</v>
      </c>
      <c r="C158">
        <v>2023</v>
      </c>
      <c r="D158">
        <v>1</v>
      </c>
      <c r="E158" t="s">
        <v>20</v>
      </c>
      <c r="F158">
        <v>1</v>
      </c>
      <c r="G158" t="s">
        <v>21</v>
      </c>
      <c r="H158" s="2">
        <v>46203.583564814813</v>
      </c>
      <c r="I158">
        <v>12</v>
      </c>
      <c r="J158" t="s">
        <v>120</v>
      </c>
      <c r="K158" s="8">
        <v>1</v>
      </c>
      <c r="L158">
        <v>5</v>
      </c>
      <c r="M158" t="s">
        <v>23</v>
      </c>
      <c r="N158">
        <v>29</v>
      </c>
      <c r="O158" t="s">
        <v>24</v>
      </c>
      <c r="P158" t="s">
        <v>25</v>
      </c>
      <c r="Q158" t="s">
        <v>85</v>
      </c>
      <c r="R158" s="7">
        <v>2.5</v>
      </c>
      <c r="S158" s="7">
        <v>2.5</v>
      </c>
      <c r="T158" t="s">
        <v>29</v>
      </c>
    </row>
    <row r="159" spans="1:20" x14ac:dyDescent="0.3">
      <c r="A159">
        <v>158</v>
      </c>
      <c r="B159" s="1">
        <v>44927</v>
      </c>
      <c r="C159">
        <v>2023</v>
      </c>
      <c r="D159">
        <v>1</v>
      </c>
      <c r="E159" t="s">
        <v>20</v>
      </c>
      <c r="F159">
        <v>1</v>
      </c>
      <c r="G159" t="s">
        <v>21</v>
      </c>
      <c r="H159" s="2">
        <v>46203.584027777775</v>
      </c>
      <c r="I159">
        <v>12</v>
      </c>
      <c r="J159" t="s">
        <v>120</v>
      </c>
      <c r="K159" s="8">
        <v>2</v>
      </c>
      <c r="L159">
        <v>3</v>
      </c>
      <c r="M159" t="s">
        <v>114</v>
      </c>
      <c r="N159">
        <v>49</v>
      </c>
      <c r="O159" t="s">
        <v>30</v>
      </c>
      <c r="P159" t="s">
        <v>57</v>
      </c>
      <c r="Q159" t="s">
        <v>117</v>
      </c>
      <c r="R159" s="7">
        <v>3</v>
      </c>
      <c r="S159" s="7">
        <v>6</v>
      </c>
      <c r="T159" t="s">
        <v>29</v>
      </c>
    </row>
    <row r="160" spans="1:20" x14ac:dyDescent="0.3">
      <c r="A160">
        <v>159</v>
      </c>
      <c r="B160" s="1">
        <v>44927</v>
      </c>
      <c r="C160">
        <v>2023</v>
      </c>
      <c r="D160">
        <v>1</v>
      </c>
      <c r="E160" t="s">
        <v>20</v>
      </c>
      <c r="F160">
        <v>1</v>
      </c>
      <c r="G160" t="s">
        <v>21</v>
      </c>
      <c r="H160" s="2">
        <v>46203.58425925926</v>
      </c>
      <c r="I160">
        <v>12</v>
      </c>
      <c r="J160" t="s">
        <v>120</v>
      </c>
      <c r="K160" s="8">
        <v>2</v>
      </c>
      <c r="L160">
        <v>3</v>
      </c>
      <c r="M160" t="s">
        <v>114</v>
      </c>
      <c r="N160">
        <v>35</v>
      </c>
      <c r="O160" t="s">
        <v>24</v>
      </c>
      <c r="P160" t="s">
        <v>99</v>
      </c>
      <c r="Q160" t="s">
        <v>110</v>
      </c>
      <c r="R160" s="7">
        <v>3.1</v>
      </c>
      <c r="S160" s="7">
        <v>6.2</v>
      </c>
      <c r="T160" t="s">
        <v>29</v>
      </c>
    </row>
    <row r="161" spans="1:20" x14ac:dyDescent="0.3">
      <c r="A161">
        <v>160</v>
      </c>
      <c r="B161" s="1">
        <v>44927</v>
      </c>
      <c r="C161">
        <v>2023</v>
      </c>
      <c r="D161">
        <v>1</v>
      </c>
      <c r="E161" t="s">
        <v>20</v>
      </c>
      <c r="F161">
        <v>1</v>
      </c>
      <c r="G161" t="s">
        <v>21</v>
      </c>
      <c r="H161" s="2">
        <v>46203.58425925926</v>
      </c>
      <c r="I161">
        <v>12</v>
      </c>
      <c r="J161" t="s">
        <v>120</v>
      </c>
      <c r="K161" s="8">
        <v>1</v>
      </c>
      <c r="L161">
        <v>3</v>
      </c>
      <c r="M161" t="s">
        <v>114</v>
      </c>
      <c r="N161">
        <v>75</v>
      </c>
      <c r="O161" t="s">
        <v>43</v>
      </c>
      <c r="P161" t="s">
        <v>78</v>
      </c>
      <c r="Q161" t="s">
        <v>115</v>
      </c>
      <c r="R161" s="7">
        <v>3.5</v>
      </c>
      <c r="S161" s="7">
        <v>3.5</v>
      </c>
      <c r="T161" t="s">
        <v>29</v>
      </c>
    </row>
    <row r="162" spans="1:20" x14ac:dyDescent="0.3">
      <c r="A162">
        <v>161</v>
      </c>
      <c r="B162" s="1">
        <v>44927</v>
      </c>
      <c r="C162">
        <v>2023</v>
      </c>
      <c r="D162">
        <v>1</v>
      </c>
      <c r="E162" t="s">
        <v>20</v>
      </c>
      <c r="F162">
        <v>1</v>
      </c>
      <c r="G162" t="s">
        <v>21</v>
      </c>
      <c r="H162" s="2">
        <v>46203.585520833331</v>
      </c>
      <c r="I162">
        <v>12</v>
      </c>
      <c r="J162" t="s">
        <v>120</v>
      </c>
      <c r="K162" s="8">
        <v>1</v>
      </c>
      <c r="L162">
        <v>8</v>
      </c>
      <c r="M162" t="s">
        <v>64</v>
      </c>
      <c r="N162">
        <v>36</v>
      </c>
      <c r="O162" t="s">
        <v>24</v>
      </c>
      <c r="P162" t="s">
        <v>99</v>
      </c>
      <c r="Q162" t="s">
        <v>102</v>
      </c>
      <c r="R162" s="7">
        <v>3.75</v>
      </c>
      <c r="S162" s="7">
        <v>3.75</v>
      </c>
      <c r="T162" t="s">
        <v>29</v>
      </c>
    </row>
    <row r="163" spans="1:20" x14ac:dyDescent="0.3">
      <c r="A163">
        <v>162</v>
      </c>
      <c r="B163" s="1">
        <v>44927</v>
      </c>
      <c r="C163">
        <v>2023</v>
      </c>
      <c r="D163">
        <v>1</v>
      </c>
      <c r="E163" t="s">
        <v>20</v>
      </c>
      <c r="F163">
        <v>1</v>
      </c>
      <c r="G163" t="s">
        <v>21</v>
      </c>
      <c r="H163" s="2">
        <v>46203.585856481484</v>
      </c>
      <c r="I163">
        <v>12</v>
      </c>
      <c r="J163" t="s">
        <v>120</v>
      </c>
      <c r="K163" s="8">
        <v>1</v>
      </c>
      <c r="L163">
        <v>8</v>
      </c>
      <c r="M163" t="s">
        <v>64</v>
      </c>
      <c r="N163">
        <v>47</v>
      </c>
      <c r="O163" t="s">
        <v>30</v>
      </c>
      <c r="P163" t="s">
        <v>60</v>
      </c>
      <c r="Q163" t="s">
        <v>61</v>
      </c>
      <c r="R163" s="7">
        <v>3</v>
      </c>
      <c r="S163" s="7">
        <v>3</v>
      </c>
      <c r="T163" t="s">
        <v>29</v>
      </c>
    </row>
    <row r="164" spans="1:20" x14ac:dyDescent="0.3">
      <c r="A164">
        <v>163</v>
      </c>
      <c r="B164" s="1">
        <v>44927</v>
      </c>
      <c r="C164">
        <v>2023</v>
      </c>
      <c r="D164">
        <v>1</v>
      </c>
      <c r="E164" t="s">
        <v>20</v>
      </c>
      <c r="F164">
        <v>1</v>
      </c>
      <c r="G164" t="s">
        <v>21</v>
      </c>
      <c r="H164" s="2">
        <v>46203.585914351854</v>
      </c>
      <c r="I164">
        <v>12</v>
      </c>
      <c r="J164" t="s">
        <v>120</v>
      </c>
      <c r="K164" s="8">
        <v>1</v>
      </c>
      <c r="L164">
        <v>3</v>
      </c>
      <c r="M164" t="s">
        <v>114</v>
      </c>
      <c r="N164">
        <v>44</v>
      </c>
      <c r="O164" t="s">
        <v>30</v>
      </c>
      <c r="P164" t="s">
        <v>65</v>
      </c>
      <c r="Q164" t="s">
        <v>92</v>
      </c>
      <c r="R164" s="7">
        <v>2.5</v>
      </c>
      <c r="S164" s="7">
        <v>2.5</v>
      </c>
      <c r="T164" t="s">
        <v>29</v>
      </c>
    </row>
    <row r="165" spans="1:20" x14ac:dyDescent="0.3">
      <c r="A165">
        <v>164</v>
      </c>
      <c r="B165" s="1">
        <v>44927</v>
      </c>
      <c r="C165">
        <v>2023</v>
      </c>
      <c r="D165">
        <v>1</v>
      </c>
      <c r="E165" t="s">
        <v>20</v>
      </c>
      <c r="F165">
        <v>1</v>
      </c>
      <c r="G165" t="s">
        <v>21</v>
      </c>
      <c r="H165" s="2">
        <v>46203.586365740739</v>
      </c>
      <c r="I165">
        <v>12</v>
      </c>
      <c r="J165" t="s">
        <v>120</v>
      </c>
      <c r="K165" s="8">
        <v>2</v>
      </c>
      <c r="L165">
        <v>8</v>
      </c>
      <c r="M165" t="s">
        <v>64</v>
      </c>
      <c r="N165">
        <v>27</v>
      </c>
      <c r="O165" t="s">
        <v>24</v>
      </c>
      <c r="P165" t="s">
        <v>82</v>
      </c>
      <c r="Q165" t="s">
        <v>84</v>
      </c>
      <c r="R165" s="7">
        <v>3.5</v>
      </c>
      <c r="S165" s="7">
        <v>7</v>
      </c>
      <c r="T165" t="s">
        <v>29</v>
      </c>
    </row>
    <row r="166" spans="1:20" x14ac:dyDescent="0.3">
      <c r="A166">
        <v>165</v>
      </c>
      <c r="B166" s="1">
        <v>44927</v>
      </c>
      <c r="C166">
        <v>2023</v>
      </c>
      <c r="D166">
        <v>1</v>
      </c>
      <c r="E166" t="s">
        <v>20</v>
      </c>
      <c r="F166">
        <v>1</v>
      </c>
      <c r="G166" t="s">
        <v>21</v>
      </c>
      <c r="H166" s="2">
        <v>46203.587164351855</v>
      </c>
      <c r="I166">
        <v>12</v>
      </c>
      <c r="J166" t="s">
        <v>120</v>
      </c>
      <c r="K166" s="8">
        <v>2</v>
      </c>
      <c r="L166">
        <v>3</v>
      </c>
      <c r="M166" t="s">
        <v>114</v>
      </c>
      <c r="N166">
        <v>52</v>
      </c>
      <c r="O166" t="s">
        <v>30</v>
      </c>
      <c r="P166" t="s">
        <v>31</v>
      </c>
      <c r="Q166" t="s">
        <v>118</v>
      </c>
      <c r="R166" s="7">
        <v>2.5</v>
      </c>
      <c r="S166" s="7">
        <v>5</v>
      </c>
      <c r="T166" t="s">
        <v>29</v>
      </c>
    </row>
    <row r="167" spans="1:20" x14ac:dyDescent="0.3">
      <c r="A167">
        <v>166</v>
      </c>
      <c r="B167" s="1">
        <v>44927</v>
      </c>
      <c r="C167">
        <v>2023</v>
      </c>
      <c r="D167">
        <v>1</v>
      </c>
      <c r="E167" t="s">
        <v>20</v>
      </c>
      <c r="F167">
        <v>1</v>
      </c>
      <c r="G167" t="s">
        <v>21</v>
      </c>
      <c r="H167" s="2">
        <v>46203.587835648148</v>
      </c>
      <c r="I167">
        <v>12</v>
      </c>
      <c r="J167" t="s">
        <v>120</v>
      </c>
      <c r="K167" s="8">
        <v>1</v>
      </c>
      <c r="L167">
        <v>5</v>
      </c>
      <c r="M167" t="s">
        <v>23</v>
      </c>
      <c r="N167">
        <v>46</v>
      </c>
      <c r="O167" t="s">
        <v>30</v>
      </c>
      <c r="P167" t="s">
        <v>60</v>
      </c>
      <c r="Q167" t="s">
        <v>95</v>
      </c>
      <c r="R167" s="7">
        <v>2.5</v>
      </c>
      <c r="S167" s="7">
        <v>2.5</v>
      </c>
      <c r="T167" t="s">
        <v>29</v>
      </c>
    </row>
    <row r="168" spans="1:20" x14ac:dyDescent="0.3">
      <c r="A168">
        <v>167</v>
      </c>
      <c r="B168" s="1">
        <v>44927</v>
      </c>
      <c r="C168">
        <v>2023</v>
      </c>
      <c r="D168">
        <v>1</v>
      </c>
      <c r="E168" t="s">
        <v>20</v>
      </c>
      <c r="F168">
        <v>1</v>
      </c>
      <c r="G168" t="s">
        <v>21</v>
      </c>
      <c r="H168" s="2">
        <v>46203.588680555556</v>
      </c>
      <c r="I168">
        <v>12</v>
      </c>
      <c r="J168" t="s">
        <v>120</v>
      </c>
      <c r="K168" s="8">
        <v>1</v>
      </c>
      <c r="L168">
        <v>8</v>
      </c>
      <c r="M168" t="s">
        <v>64</v>
      </c>
      <c r="N168">
        <v>24</v>
      </c>
      <c r="O168" t="s">
        <v>24</v>
      </c>
      <c r="P168" t="s">
        <v>40</v>
      </c>
      <c r="Q168" t="s">
        <v>89</v>
      </c>
      <c r="R168" s="7">
        <v>3</v>
      </c>
      <c r="S168" s="7">
        <v>3</v>
      </c>
      <c r="T168" t="s">
        <v>29</v>
      </c>
    </row>
    <row r="169" spans="1:20" x14ac:dyDescent="0.3">
      <c r="A169">
        <v>168</v>
      </c>
      <c r="B169" s="1">
        <v>44927</v>
      </c>
      <c r="C169">
        <v>2023</v>
      </c>
      <c r="D169">
        <v>1</v>
      </c>
      <c r="E169" t="s">
        <v>20</v>
      </c>
      <c r="F169">
        <v>1</v>
      </c>
      <c r="G169" t="s">
        <v>21</v>
      </c>
      <c r="H169" s="2">
        <v>46203.589131944442</v>
      </c>
      <c r="I169">
        <v>12</v>
      </c>
      <c r="J169" t="s">
        <v>120</v>
      </c>
      <c r="K169" s="8">
        <v>1</v>
      </c>
      <c r="L169">
        <v>5</v>
      </c>
      <c r="M169" t="s">
        <v>23</v>
      </c>
      <c r="N169">
        <v>43</v>
      </c>
      <c r="O169" t="s">
        <v>30</v>
      </c>
      <c r="P169" t="s">
        <v>65</v>
      </c>
      <c r="Q169" t="s">
        <v>75</v>
      </c>
      <c r="R169" s="7">
        <v>3</v>
      </c>
      <c r="S169" s="7">
        <v>3</v>
      </c>
      <c r="T169" t="s">
        <v>29</v>
      </c>
    </row>
    <row r="170" spans="1:20" x14ac:dyDescent="0.3">
      <c r="A170">
        <v>169</v>
      </c>
      <c r="B170" s="1">
        <v>44927</v>
      </c>
      <c r="C170">
        <v>2023</v>
      </c>
      <c r="D170">
        <v>1</v>
      </c>
      <c r="E170" t="s">
        <v>20</v>
      </c>
      <c r="F170">
        <v>1</v>
      </c>
      <c r="G170" t="s">
        <v>21</v>
      </c>
      <c r="H170" s="2">
        <v>46203.589305555557</v>
      </c>
      <c r="I170">
        <v>12</v>
      </c>
      <c r="J170" t="s">
        <v>120</v>
      </c>
      <c r="K170" s="8">
        <v>1</v>
      </c>
      <c r="L170">
        <v>8</v>
      </c>
      <c r="M170" t="s">
        <v>64</v>
      </c>
      <c r="N170">
        <v>35</v>
      </c>
      <c r="O170" t="s">
        <v>24</v>
      </c>
      <c r="P170" t="s">
        <v>99</v>
      </c>
      <c r="Q170" t="s">
        <v>110</v>
      </c>
      <c r="R170" s="7">
        <v>3.1</v>
      </c>
      <c r="S170" s="7">
        <v>3.1</v>
      </c>
      <c r="T170" t="s">
        <v>29</v>
      </c>
    </row>
    <row r="171" spans="1:20" x14ac:dyDescent="0.3">
      <c r="A171">
        <v>170</v>
      </c>
      <c r="B171" s="1">
        <v>44927</v>
      </c>
      <c r="C171">
        <v>2023</v>
      </c>
      <c r="D171">
        <v>1</v>
      </c>
      <c r="E171" t="s">
        <v>20</v>
      </c>
      <c r="F171">
        <v>1</v>
      </c>
      <c r="G171" t="s">
        <v>21</v>
      </c>
      <c r="H171" s="2">
        <v>46203.58971064815</v>
      </c>
      <c r="I171">
        <v>12</v>
      </c>
      <c r="J171" t="s">
        <v>120</v>
      </c>
      <c r="K171" s="8">
        <v>2</v>
      </c>
      <c r="L171">
        <v>3</v>
      </c>
      <c r="M171" t="s">
        <v>114</v>
      </c>
      <c r="N171">
        <v>28</v>
      </c>
      <c r="O171" t="s">
        <v>24</v>
      </c>
      <c r="P171" t="s">
        <v>25</v>
      </c>
      <c r="Q171" t="s">
        <v>46</v>
      </c>
      <c r="R171" s="7">
        <v>2</v>
      </c>
      <c r="S171" s="7">
        <v>4</v>
      </c>
      <c r="T171" t="s">
        <v>29</v>
      </c>
    </row>
    <row r="172" spans="1:20" x14ac:dyDescent="0.3">
      <c r="A172">
        <v>171</v>
      </c>
      <c r="B172" s="1">
        <v>44927</v>
      </c>
      <c r="C172">
        <v>2023</v>
      </c>
      <c r="D172">
        <v>1</v>
      </c>
      <c r="E172" t="s">
        <v>20</v>
      </c>
      <c r="F172">
        <v>1</v>
      </c>
      <c r="G172" t="s">
        <v>21</v>
      </c>
      <c r="H172" s="2">
        <v>46203.589722222219</v>
      </c>
      <c r="I172">
        <v>12</v>
      </c>
      <c r="J172" t="s">
        <v>120</v>
      </c>
      <c r="K172" s="8">
        <v>2</v>
      </c>
      <c r="L172">
        <v>8</v>
      </c>
      <c r="M172" t="s">
        <v>64</v>
      </c>
      <c r="N172">
        <v>50</v>
      </c>
      <c r="O172" t="s">
        <v>30</v>
      </c>
      <c r="P172" t="s">
        <v>57</v>
      </c>
      <c r="Q172" t="s">
        <v>108</v>
      </c>
      <c r="R172" s="7">
        <v>2.5</v>
      </c>
      <c r="S172" s="7">
        <v>5</v>
      </c>
      <c r="T172" t="s">
        <v>29</v>
      </c>
    </row>
    <row r="173" spans="1:20" x14ac:dyDescent="0.3">
      <c r="A173">
        <v>172</v>
      </c>
      <c r="B173" s="1">
        <v>44927</v>
      </c>
      <c r="C173">
        <v>2023</v>
      </c>
      <c r="D173">
        <v>1</v>
      </c>
      <c r="E173" t="s">
        <v>20</v>
      </c>
      <c r="F173">
        <v>1</v>
      </c>
      <c r="G173" t="s">
        <v>21</v>
      </c>
      <c r="H173" s="2">
        <v>46203.592442129629</v>
      </c>
      <c r="I173">
        <v>12</v>
      </c>
      <c r="J173" t="s">
        <v>120</v>
      </c>
      <c r="K173" s="8">
        <v>2</v>
      </c>
      <c r="L173">
        <v>5</v>
      </c>
      <c r="M173" t="s">
        <v>23</v>
      </c>
      <c r="N173">
        <v>38</v>
      </c>
      <c r="O173" t="s">
        <v>24</v>
      </c>
      <c r="P173" t="s">
        <v>48</v>
      </c>
      <c r="Q173" t="s">
        <v>81</v>
      </c>
      <c r="R173" s="7">
        <v>3.75</v>
      </c>
      <c r="S173" s="7">
        <v>7.5</v>
      </c>
      <c r="T173" t="s">
        <v>29</v>
      </c>
    </row>
    <row r="174" spans="1:20" x14ac:dyDescent="0.3">
      <c r="A174">
        <v>173</v>
      </c>
      <c r="B174" s="1">
        <v>44927</v>
      </c>
      <c r="C174">
        <v>2023</v>
      </c>
      <c r="D174">
        <v>1</v>
      </c>
      <c r="E174" t="s">
        <v>20</v>
      </c>
      <c r="F174">
        <v>1</v>
      </c>
      <c r="G174" t="s">
        <v>21</v>
      </c>
      <c r="H174" s="2">
        <v>46203.593356481484</v>
      </c>
      <c r="I174">
        <v>12</v>
      </c>
      <c r="J174" t="s">
        <v>120</v>
      </c>
      <c r="K174" s="8">
        <v>2</v>
      </c>
      <c r="L174">
        <v>8</v>
      </c>
      <c r="M174" t="s">
        <v>64</v>
      </c>
      <c r="N174">
        <v>35</v>
      </c>
      <c r="O174" t="s">
        <v>24</v>
      </c>
      <c r="P174" t="s">
        <v>99</v>
      </c>
      <c r="Q174" t="s">
        <v>110</v>
      </c>
      <c r="R174" s="7">
        <v>3.1</v>
      </c>
      <c r="S174" s="7">
        <v>6.2</v>
      </c>
      <c r="T174" t="s">
        <v>29</v>
      </c>
    </row>
    <row r="175" spans="1:20" x14ac:dyDescent="0.3">
      <c r="A175">
        <v>174</v>
      </c>
      <c r="B175" s="1">
        <v>44927</v>
      </c>
      <c r="C175">
        <v>2023</v>
      </c>
      <c r="D175">
        <v>1</v>
      </c>
      <c r="E175" t="s">
        <v>20</v>
      </c>
      <c r="F175">
        <v>1</v>
      </c>
      <c r="G175" t="s">
        <v>21</v>
      </c>
      <c r="H175" s="2">
        <v>46203.595578703702</v>
      </c>
      <c r="I175">
        <v>12</v>
      </c>
      <c r="J175" t="s">
        <v>120</v>
      </c>
      <c r="K175" s="8">
        <v>2</v>
      </c>
      <c r="L175">
        <v>8</v>
      </c>
      <c r="M175" t="s">
        <v>64</v>
      </c>
      <c r="N175">
        <v>50</v>
      </c>
      <c r="O175" t="s">
        <v>30</v>
      </c>
      <c r="P175" t="s">
        <v>57</v>
      </c>
      <c r="Q175" t="s">
        <v>108</v>
      </c>
      <c r="R175" s="7">
        <v>2.5</v>
      </c>
      <c r="S175" s="7">
        <v>5</v>
      </c>
      <c r="T175" t="s">
        <v>29</v>
      </c>
    </row>
    <row r="176" spans="1:20" x14ac:dyDescent="0.3">
      <c r="A176">
        <v>175</v>
      </c>
      <c r="B176" s="1">
        <v>44927</v>
      </c>
      <c r="C176">
        <v>2023</v>
      </c>
      <c r="D176">
        <v>1</v>
      </c>
      <c r="E176" t="s">
        <v>20</v>
      </c>
      <c r="F176">
        <v>1</v>
      </c>
      <c r="G176" t="s">
        <v>21</v>
      </c>
      <c r="H176" s="2">
        <v>46203.595914351848</v>
      </c>
      <c r="I176">
        <v>12</v>
      </c>
      <c r="J176" t="s">
        <v>120</v>
      </c>
      <c r="K176" s="8">
        <v>2</v>
      </c>
      <c r="L176">
        <v>5</v>
      </c>
      <c r="M176" t="s">
        <v>23</v>
      </c>
      <c r="N176">
        <v>25</v>
      </c>
      <c r="O176" t="s">
        <v>24</v>
      </c>
      <c r="P176" t="s">
        <v>82</v>
      </c>
      <c r="Q176" t="s">
        <v>96</v>
      </c>
      <c r="R176" s="7">
        <v>2.2000000000000002</v>
      </c>
      <c r="S176" s="7">
        <v>4.4000000000000004</v>
      </c>
      <c r="T176" t="s">
        <v>29</v>
      </c>
    </row>
    <row r="177" spans="1:20" x14ac:dyDescent="0.3">
      <c r="A177">
        <v>176</v>
      </c>
      <c r="B177" s="1">
        <v>44927</v>
      </c>
      <c r="C177">
        <v>2023</v>
      </c>
      <c r="D177">
        <v>1</v>
      </c>
      <c r="E177" t="s">
        <v>20</v>
      </c>
      <c r="F177">
        <v>1</v>
      </c>
      <c r="G177" t="s">
        <v>21</v>
      </c>
      <c r="H177" s="2">
        <v>46203.596342592595</v>
      </c>
      <c r="I177">
        <v>12</v>
      </c>
      <c r="J177" t="s">
        <v>120</v>
      </c>
      <c r="K177" s="8">
        <v>2</v>
      </c>
      <c r="L177">
        <v>3</v>
      </c>
      <c r="M177" t="s">
        <v>114</v>
      </c>
      <c r="N177">
        <v>49</v>
      </c>
      <c r="O177" t="s">
        <v>30</v>
      </c>
      <c r="P177" t="s">
        <v>57</v>
      </c>
      <c r="Q177" t="s">
        <v>117</v>
      </c>
      <c r="R177" s="7">
        <v>3</v>
      </c>
      <c r="S177" s="7">
        <v>6</v>
      </c>
      <c r="T177" t="s">
        <v>29</v>
      </c>
    </row>
    <row r="178" spans="1:20" x14ac:dyDescent="0.3">
      <c r="A178">
        <v>177</v>
      </c>
      <c r="B178" s="1">
        <v>44927</v>
      </c>
      <c r="C178">
        <v>2023</v>
      </c>
      <c r="D178">
        <v>1</v>
      </c>
      <c r="E178" t="s">
        <v>20</v>
      </c>
      <c r="F178">
        <v>1</v>
      </c>
      <c r="G178" t="s">
        <v>21</v>
      </c>
      <c r="H178" s="2">
        <v>46203.597407407404</v>
      </c>
      <c r="I178">
        <v>12</v>
      </c>
      <c r="J178" t="s">
        <v>120</v>
      </c>
      <c r="K178" s="8">
        <v>2</v>
      </c>
      <c r="L178">
        <v>3</v>
      </c>
      <c r="M178" t="s">
        <v>114</v>
      </c>
      <c r="N178">
        <v>60</v>
      </c>
      <c r="O178" t="s">
        <v>35</v>
      </c>
      <c r="P178" t="s">
        <v>36</v>
      </c>
      <c r="Q178" t="s">
        <v>90</v>
      </c>
      <c r="R178" s="7">
        <v>3.75</v>
      </c>
      <c r="S178" s="7">
        <v>7.5</v>
      </c>
      <c r="T178" t="s">
        <v>29</v>
      </c>
    </row>
    <row r="179" spans="1:20" x14ac:dyDescent="0.3">
      <c r="A179">
        <v>178</v>
      </c>
      <c r="B179" s="1">
        <v>44927</v>
      </c>
      <c r="C179">
        <v>2023</v>
      </c>
      <c r="D179">
        <v>1</v>
      </c>
      <c r="E179" t="s">
        <v>20</v>
      </c>
      <c r="F179">
        <v>1</v>
      </c>
      <c r="G179" t="s">
        <v>21</v>
      </c>
      <c r="H179" s="2">
        <v>46203.599756944444</v>
      </c>
      <c r="I179">
        <v>12</v>
      </c>
      <c r="J179" t="s">
        <v>120</v>
      </c>
      <c r="K179" s="8">
        <v>1</v>
      </c>
      <c r="L179">
        <v>3</v>
      </c>
      <c r="M179" t="s">
        <v>114</v>
      </c>
      <c r="N179">
        <v>24</v>
      </c>
      <c r="O179" t="s">
        <v>24</v>
      </c>
      <c r="P179" t="s">
        <v>40</v>
      </c>
      <c r="Q179" t="s">
        <v>89</v>
      </c>
      <c r="R179" s="7">
        <v>3</v>
      </c>
      <c r="S179" s="7">
        <v>3</v>
      </c>
      <c r="T179" t="s">
        <v>29</v>
      </c>
    </row>
    <row r="180" spans="1:20" x14ac:dyDescent="0.3">
      <c r="A180">
        <v>179</v>
      </c>
      <c r="B180" s="1">
        <v>44927</v>
      </c>
      <c r="C180">
        <v>2023</v>
      </c>
      <c r="D180">
        <v>1</v>
      </c>
      <c r="E180" t="s">
        <v>20</v>
      </c>
      <c r="F180">
        <v>1</v>
      </c>
      <c r="G180" t="s">
        <v>21</v>
      </c>
      <c r="H180" s="2">
        <v>46203.602152777778</v>
      </c>
      <c r="I180">
        <v>12</v>
      </c>
      <c r="J180" t="s">
        <v>120</v>
      </c>
      <c r="K180" s="8">
        <v>2</v>
      </c>
      <c r="L180">
        <v>5</v>
      </c>
      <c r="M180" t="s">
        <v>23</v>
      </c>
      <c r="N180">
        <v>41</v>
      </c>
      <c r="O180" t="s">
        <v>24</v>
      </c>
      <c r="P180" t="s">
        <v>48</v>
      </c>
      <c r="Q180" t="s">
        <v>105</v>
      </c>
      <c r="R180" s="7">
        <v>4.25</v>
      </c>
      <c r="S180" s="7">
        <v>8.5</v>
      </c>
      <c r="T180" t="s">
        <v>29</v>
      </c>
    </row>
    <row r="181" spans="1:20" x14ac:dyDescent="0.3">
      <c r="A181">
        <v>180</v>
      </c>
      <c r="B181" s="1">
        <v>44927</v>
      </c>
      <c r="C181">
        <v>2023</v>
      </c>
      <c r="D181">
        <v>1</v>
      </c>
      <c r="E181" t="s">
        <v>20</v>
      </c>
      <c r="F181">
        <v>1</v>
      </c>
      <c r="G181" t="s">
        <v>21</v>
      </c>
      <c r="H181" s="2">
        <v>46203.604699074072</v>
      </c>
      <c r="I181">
        <v>12</v>
      </c>
      <c r="J181" t="s">
        <v>120</v>
      </c>
      <c r="K181" s="8">
        <v>2</v>
      </c>
      <c r="L181">
        <v>3</v>
      </c>
      <c r="M181" t="s">
        <v>114</v>
      </c>
      <c r="N181">
        <v>44</v>
      </c>
      <c r="O181" t="s">
        <v>30</v>
      </c>
      <c r="P181" t="s">
        <v>65</v>
      </c>
      <c r="Q181" t="s">
        <v>92</v>
      </c>
      <c r="R181" s="7">
        <v>2.5</v>
      </c>
      <c r="S181" s="7">
        <v>5</v>
      </c>
      <c r="T181" t="s">
        <v>29</v>
      </c>
    </row>
    <row r="182" spans="1:20" x14ac:dyDescent="0.3">
      <c r="A182">
        <v>181</v>
      </c>
      <c r="B182" s="1">
        <v>44927</v>
      </c>
      <c r="C182">
        <v>2023</v>
      </c>
      <c r="D182">
        <v>1</v>
      </c>
      <c r="E182" t="s">
        <v>20</v>
      </c>
      <c r="F182">
        <v>1</v>
      </c>
      <c r="G182" t="s">
        <v>21</v>
      </c>
      <c r="H182" s="2">
        <v>46203.604733796295</v>
      </c>
      <c r="I182">
        <v>12</v>
      </c>
      <c r="J182" t="s">
        <v>120</v>
      </c>
      <c r="K182" s="8">
        <v>1</v>
      </c>
      <c r="L182">
        <v>8</v>
      </c>
      <c r="M182" t="s">
        <v>64</v>
      </c>
      <c r="N182">
        <v>38</v>
      </c>
      <c r="O182" t="s">
        <v>24</v>
      </c>
      <c r="P182" t="s">
        <v>48</v>
      </c>
      <c r="Q182" t="s">
        <v>81</v>
      </c>
      <c r="R182" s="7">
        <v>3.75</v>
      </c>
      <c r="S182" s="7">
        <v>3.75</v>
      </c>
      <c r="T182" t="s">
        <v>29</v>
      </c>
    </row>
    <row r="183" spans="1:20" x14ac:dyDescent="0.3">
      <c r="A183">
        <v>182</v>
      </c>
      <c r="B183" s="1">
        <v>44927</v>
      </c>
      <c r="C183">
        <v>2023</v>
      </c>
      <c r="D183">
        <v>1</v>
      </c>
      <c r="E183" t="s">
        <v>20</v>
      </c>
      <c r="F183">
        <v>1</v>
      </c>
      <c r="G183" t="s">
        <v>21</v>
      </c>
      <c r="H183" s="2">
        <v>46203.606481481482</v>
      </c>
      <c r="I183">
        <v>12</v>
      </c>
      <c r="J183" t="s">
        <v>120</v>
      </c>
      <c r="K183" s="8">
        <v>2</v>
      </c>
      <c r="L183">
        <v>3</v>
      </c>
      <c r="M183" t="s">
        <v>114</v>
      </c>
      <c r="N183">
        <v>54</v>
      </c>
      <c r="O183" t="s">
        <v>30</v>
      </c>
      <c r="P183" t="s">
        <v>31</v>
      </c>
      <c r="Q183" t="s">
        <v>87</v>
      </c>
      <c r="R183" s="7">
        <v>2.5</v>
      </c>
      <c r="S183" s="7">
        <v>5</v>
      </c>
      <c r="T183" t="s">
        <v>29</v>
      </c>
    </row>
    <row r="184" spans="1:20" x14ac:dyDescent="0.3">
      <c r="A184">
        <v>183</v>
      </c>
      <c r="B184" s="1">
        <v>44927</v>
      </c>
      <c r="C184">
        <v>2023</v>
      </c>
      <c r="D184">
        <v>1</v>
      </c>
      <c r="E184" t="s">
        <v>20</v>
      </c>
      <c r="F184">
        <v>1</v>
      </c>
      <c r="G184" t="s">
        <v>21</v>
      </c>
      <c r="H184" s="2">
        <v>46203.60665509259</v>
      </c>
      <c r="I184">
        <v>12</v>
      </c>
      <c r="J184" t="s">
        <v>120</v>
      </c>
      <c r="K184" s="8">
        <v>2</v>
      </c>
      <c r="L184">
        <v>3</v>
      </c>
      <c r="M184" t="s">
        <v>114</v>
      </c>
      <c r="N184">
        <v>29</v>
      </c>
      <c r="O184" t="s">
        <v>24</v>
      </c>
      <c r="P184" t="s">
        <v>25</v>
      </c>
      <c r="Q184" t="s">
        <v>85</v>
      </c>
      <c r="R184" s="7">
        <v>2.5</v>
      </c>
      <c r="S184" s="7">
        <v>5</v>
      </c>
      <c r="T184" t="s">
        <v>29</v>
      </c>
    </row>
    <row r="185" spans="1:20" x14ac:dyDescent="0.3">
      <c r="A185">
        <v>184</v>
      </c>
      <c r="B185" s="1">
        <v>44927</v>
      </c>
      <c r="C185">
        <v>2023</v>
      </c>
      <c r="D185">
        <v>1</v>
      </c>
      <c r="E185" t="s">
        <v>20</v>
      </c>
      <c r="F185">
        <v>1</v>
      </c>
      <c r="G185" t="s">
        <v>21</v>
      </c>
      <c r="H185" s="2">
        <v>46203.608252314814</v>
      </c>
      <c r="I185">
        <v>12</v>
      </c>
      <c r="J185" t="s">
        <v>120</v>
      </c>
      <c r="K185" s="8">
        <v>2</v>
      </c>
      <c r="L185">
        <v>5</v>
      </c>
      <c r="M185" t="s">
        <v>23</v>
      </c>
      <c r="N185">
        <v>31</v>
      </c>
      <c r="O185" t="s">
        <v>24</v>
      </c>
      <c r="P185" t="s">
        <v>25</v>
      </c>
      <c r="Q185" t="s">
        <v>116</v>
      </c>
      <c r="R185" s="7">
        <v>2.2000000000000002</v>
      </c>
      <c r="S185" s="7">
        <v>4.4000000000000004</v>
      </c>
      <c r="T185" t="s">
        <v>29</v>
      </c>
    </row>
    <row r="186" spans="1:20" x14ac:dyDescent="0.3">
      <c r="A186">
        <v>185</v>
      </c>
      <c r="B186" s="1">
        <v>44927</v>
      </c>
      <c r="C186">
        <v>2023</v>
      </c>
      <c r="D186">
        <v>1</v>
      </c>
      <c r="E186" t="s">
        <v>20</v>
      </c>
      <c r="F186">
        <v>1</v>
      </c>
      <c r="G186" t="s">
        <v>21</v>
      </c>
      <c r="H186" s="2">
        <v>46203.608993055554</v>
      </c>
      <c r="I186">
        <v>12</v>
      </c>
      <c r="J186" t="s">
        <v>120</v>
      </c>
      <c r="K186" s="8">
        <v>1</v>
      </c>
      <c r="L186">
        <v>8</v>
      </c>
      <c r="M186" t="s">
        <v>64</v>
      </c>
      <c r="N186">
        <v>60</v>
      </c>
      <c r="O186" t="s">
        <v>35</v>
      </c>
      <c r="P186" t="s">
        <v>36</v>
      </c>
      <c r="Q186" t="s">
        <v>90</v>
      </c>
      <c r="R186" s="7">
        <v>3.75</v>
      </c>
      <c r="S186" s="7">
        <v>3.75</v>
      </c>
      <c r="T186" t="s">
        <v>29</v>
      </c>
    </row>
    <row r="187" spans="1:20" x14ac:dyDescent="0.3">
      <c r="A187">
        <v>186</v>
      </c>
      <c r="B187" s="1">
        <v>44927</v>
      </c>
      <c r="C187">
        <v>2023</v>
      </c>
      <c r="D187">
        <v>1</v>
      </c>
      <c r="E187" t="s">
        <v>20</v>
      </c>
      <c r="F187">
        <v>1</v>
      </c>
      <c r="G187" t="s">
        <v>21</v>
      </c>
      <c r="H187" s="2">
        <v>46203.610046296293</v>
      </c>
      <c r="I187">
        <v>12</v>
      </c>
      <c r="J187" t="s">
        <v>120</v>
      </c>
      <c r="K187" s="8">
        <v>2</v>
      </c>
      <c r="L187">
        <v>8</v>
      </c>
      <c r="M187" t="s">
        <v>64</v>
      </c>
      <c r="N187">
        <v>49</v>
      </c>
      <c r="O187" t="s">
        <v>30</v>
      </c>
      <c r="P187" t="s">
        <v>57</v>
      </c>
      <c r="Q187" t="s">
        <v>117</v>
      </c>
      <c r="R187" s="7">
        <v>3</v>
      </c>
      <c r="S187" s="7">
        <v>6</v>
      </c>
      <c r="T187" t="s">
        <v>29</v>
      </c>
    </row>
    <row r="188" spans="1:20" x14ac:dyDescent="0.3">
      <c r="A188">
        <v>187</v>
      </c>
      <c r="B188" s="1">
        <v>44927</v>
      </c>
      <c r="C188">
        <v>2023</v>
      </c>
      <c r="D188">
        <v>1</v>
      </c>
      <c r="E188" t="s">
        <v>20</v>
      </c>
      <c r="F188">
        <v>1</v>
      </c>
      <c r="G188" t="s">
        <v>21</v>
      </c>
      <c r="H188" s="2">
        <v>46203.612800925926</v>
      </c>
      <c r="I188">
        <v>12</v>
      </c>
      <c r="J188" t="s">
        <v>120</v>
      </c>
      <c r="K188" s="8">
        <v>1</v>
      </c>
      <c r="L188">
        <v>3</v>
      </c>
      <c r="M188" t="s">
        <v>114</v>
      </c>
      <c r="N188">
        <v>53</v>
      </c>
      <c r="O188" t="s">
        <v>30</v>
      </c>
      <c r="P188" t="s">
        <v>31</v>
      </c>
      <c r="Q188" t="s">
        <v>104</v>
      </c>
      <c r="R188" s="7">
        <v>3</v>
      </c>
      <c r="S188" s="7">
        <v>3</v>
      </c>
      <c r="T188" t="s">
        <v>29</v>
      </c>
    </row>
    <row r="189" spans="1:20" x14ac:dyDescent="0.3">
      <c r="A189">
        <v>188</v>
      </c>
      <c r="B189" s="1">
        <v>44927</v>
      </c>
      <c r="C189">
        <v>2023</v>
      </c>
      <c r="D189">
        <v>1</v>
      </c>
      <c r="E189" t="s">
        <v>20</v>
      </c>
      <c r="F189">
        <v>1</v>
      </c>
      <c r="G189" t="s">
        <v>21</v>
      </c>
      <c r="H189" s="2">
        <v>46203.613900462966</v>
      </c>
      <c r="I189">
        <v>12</v>
      </c>
      <c r="J189" t="s">
        <v>120</v>
      </c>
      <c r="K189" s="8">
        <v>1</v>
      </c>
      <c r="L189">
        <v>8</v>
      </c>
      <c r="M189" t="s">
        <v>64</v>
      </c>
      <c r="N189">
        <v>60</v>
      </c>
      <c r="O189" t="s">
        <v>35</v>
      </c>
      <c r="P189" t="s">
        <v>36</v>
      </c>
      <c r="Q189" t="s">
        <v>90</v>
      </c>
      <c r="R189" s="7">
        <v>3.75</v>
      </c>
      <c r="S189" s="7">
        <v>3.75</v>
      </c>
      <c r="T189" t="s">
        <v>29</v>
      </c>
    </row>
    <row r="190" spans="1:20" x14ac:dyDescent="0.3">
      <c r="A190">
        <v>189</v>
      </c>
      <c r="B190" s="1">
        <v>44927</v>
      </c>
      <c r="C190">
        <v>2023</v>
      </c>
      <c r="D190">
        <v>1</v>
      </c>
      <c r="E190" t="s">
        <v>20</v>
      </c>
      <c r="F190">
        <v>1</v>
      </c>
      <c r="G190" t="s">
        <v>21</v>
      </c>
      <c r="H190" s="2">
        <v>46203.614247685182</v>
      </c>
      <c r="I190">
        <v>12</v>
      </c>
      <c r="J190" t="s">
        <v>120</v>
      </c>
      <c r="K190" s="8">
        <v>1</v>
      </c>
      <c r="L190">
        <v>3</v>
      </c>
      <c r="M190" t="s">
        <v>114</v>
      </c>
      <c r="N190">
        <v>53</v>
      </c>
      <c r="O190" t="s">
        <v>30</v>
      </c>
      <c r="P190" t="s">
        <v>31</v>
      </c>
      <c r="Q190" t="s">
        <v>104</v>
      </c>
      <c r="R190" s="7">
        <v>3</v>
      </c>
      <c r="S190" s="7">
        <v>3</v>
      </c>
      <c r="T190" t="s">
        <v>29</v>
      </c>
    </row>
    <row r="191" spans="1:20" x14ac:dyDescent="0.3">
      <c r="A191">
        <v>190</v>
      </c>
      <c r="B191" s="1">
        <v>44927</v>
      </c>
      <c r="C191">
        <v>2023</v>
      </c>
      <c r="D191">
        <v>1</v>
      </c>
      <c r="E191" t="s">
        <v>20</v>
      </c>
      <c r="F191">
        <v>1</v>
      </c>
      <c r="G191" t="s">
        <v>21</v>
      </c>
      <c r="H191" s="2">
        <v>46203.614259259259</v>
      </c>
      <c r="I191">
        <v>12</v>
      </c>
      <c r="J191" t="s">
        <v>120</v>
      </c>
      <c r="K191" s="8">
        <v>1</v>
      </c>
      <c r="L191">
        <v>3</v>
      </c>
      <c r="M191" t="s">
        <v>114</v>
      </c>
      <c r="N191">
        <v>52</v>
      </c>
      <c r="O191" t="s">
        <v>30</v>
      </c>
      <c r="P191" t="s">
        <v>31</v>
      </c>
      <c r="Q191" t="s">
        <v>118</v>
      </c>
      <c r="R191" s="7">
        <v>2.5</v>
      </c>
      <c r="S191" s="7">
        <v>2.5</v>
      </c>
      <c r="T191" t="s">
        <v>29</v>
      </c>
    </row>
    <row r="192" spans="1:20" x14ac:dyDescent="0.3">
      <c r="A192">
        <v>191</v>
      </c>
      <c r="B192" s="1">
        <v>44927</v>
      </c>
      <c r="C192">
        <v>2023</v>
      </c>
      <c r="D192">
        <v>1</v>
      </c>
      <c r="E192" t="s">
        <v>20</v>
      </c>
      <c r="F192">
        <v>1</v>
      </c>
      <c r="G192" t="s">
        <v>21</v>
      </c>
      <c r="H192" s="2">
        <v>46203.615185185183</v>
      </c>
      <c r="I192">
        <v>12</v>
      </c>
      <c r="J192" t="s">
        <v>120</v>
      </c>
      <c r="K192" s="8">
        <v>2</v>
      </c>
      <c r="L192">
        <v>3</v>
      </c>
      <c r="M192" t="s">
        <v>114</v>
      </c>
      <c r="N192">
        <v>28</v>
      </c>
      <c r="O192" t="s">
        <v>24</v>
      </c>
      <c r="P192" t="s">
        <v>25</v>
      </c>
      <c r="Q192" t="s">
        <v>46</v>
      </c>
      <c r="R192" s="7">
        <v>2</v>
      </c>
      <c r="S192" s="7">
        <v>4</v>
      </c>
      <c r="T192" t="s">
        <v>29</v>
      </c>
    </row>
    <row r="193" spans="1:20" x14ac:dyDescent="0.3">
      <c r="A193">
        <v>192</v>
      </c>
      <c r="B193" s="1">
        <v>44927</v>
      </c>
      <c r="C193">
        <v>2023</v>
      </c>
      <c r="D193">
        <v>1</v>
      </c>
      <c r="E193" t="s">
        <v>20</v>
      </c>
      <c r="F193">
        <v>1</v>
      </c>
      <c r="G193" t="s">
        <v>21</v>
      </c>
      <c r="H193" s="2">
        <v>46203.615532407406</v>
      </c>
      <c r="I193">
        <v>12</v>
      </c>
      <c r="J193" t="s">
        <v>120</v>
      </c>
      <c r="K193" s="8">
        <v>1</v>
      </c>
      <c r="L193">
        <v>3</v>
      </c>
      <c r="M193" t="s">
        <v>114</v>
      </c>
      <c r="N193">
        <v>56</v>
      </c>
      <c r="O193" t="s">
        <v>30</v>
      </c>
      <c r="P193" t="s">
        <v>31</v>
      </c>
      <c r="Q193" t="s">
        <v>54</v>
      </c>
      <c r="R193" s="7">
        <v>2.5499999999999998</v>
      </c>
      <c r="S193" s="7">
        <v>2.5499999999999998</v>
      </c>
      <c r="T193" t="s">
        <v>29</v>
      </c>
    </row>
    <row r="194" spans="1:20" x14ac:dyDescent="0.3">
      <c r="A194">
        <v>193</v>
      </c>
      <c r="B194" s="1">
        <v>44927</v>
      </c>
      <c r="C194">
        <v>2023</v>
      </c>
      <c r="D194">
        <v>1</v>
      </c>
      <c r="E194" t="s">
        <v>20</v>
      </c>
      <c r="F194">
        <v>1</v>
      </c>
      <c r="G194" t="s">
        <v>21</v>
      </c>
      <c r="H194" s="2">
        <v>46203.615578703706</v>
      </c>
      <c r="I194">
        <v>12</v>
      </c>
      <c r="J194" t="s">
        <v>120</v>
      </c>
      <c r="K194" s="8">
        <v>1</v>
      </c>
      <c r="L194">
        <v>3</v>
      </c>
      <c r="M194" t="s">
        <v>114</v>
      </c>
      <c r="N194">
        <v>23</v>
      </c>
      <c r="O194" t="s">
        <v>24</v>
      </c>
      <c r="P194" t="s">
        <v>40</v>
      </c>
      <c r="Q194" t="s">
        <v>94</v>
      </c>
      <c r="R194" s="7">
        <v>2.5</v>
      </c>
      <c r="S194" s="7">
        <v>2.5</v>
      </c>
      <c r="T194" t="s">
        <v>29</v>
      </c>
    </row>
    <row r="195" spans="1:20" x14ac:dyDescent="0.3">
      <c r="A195">
        <v>194</v>
      </c>
      <c r="B195" s="1">
        <v>44927</v>
      </c>
      <c r="C195">
        <v>2023</v>
      </c>
      <c r="D195">
        <v>1</v>
      </c>
      <c r="E195" t="s">
        <v>20</v>
      </c>
      <c r="F195">
        <v>1</v>
      </c>
      <c r="G195" t="s">
        <v>21</v>
      </c>
      <c r="H195" s="2">
        <v>46203.615914351853</v>
      </c>
      <c r="I195">
        <v>12</v>
      </c>
      <c r="J195" t="s">
        <v>120</v>
      </c>
      <c r="K195" s="8">
        <v>1</v>
      </c>
      <c r="L195">
        <v>3</v>
      </c>
      <c r="M195" t="s">
        <v>114</v>
      </c>
      <c r="N195">
        <v>33</v>
      </c>
      <c r="O195" t="s">
        <v>24</v>
      </c>
      <c r="P195" t="s">
        <v>25</v>
      </c>
      <c r="Q195" t="s">
        <v>56</v>
      </c>
      <c r="R195" s="7">
        <v>3.5</v>
      </c>
      <c r="S195" s="7">
        <v>3.5</v>
      </c>
      <c r="T195" t="s">
        <v>29</v>
      </c>
    </row>
    <row r="196" spans="1:20" x14ac:dyDescent="0.3">
      <c r="A196">
        <v>195</v>
      </c>
      <c r="B196" s="1">
        <v>44927</v>
      </c>
      <c r="C196">
        <v>2023</v>
      </c>
      <c r="D196">
        <v>1</v>
      </c>
      <c r="E196" t="s">
        <v>20</v>
      </c>
      <c r="F196">
        <v>1</v>
      </c>
      <c r="G196" t="s">
        <v>21</v>
      </c>
      <c r="H196" s="2">
        <v>46203.615914351853</v>
      </c>
      <c r="I196">
        <v>12</v>
      </c>
      <c r="J196" t="s">
        <v>120</v>
      </c>
      <c r="K196" s="8">
        <v>1</v>
      </c>
      <c r="L196">
        <v>3</v>
      </c>
      <c r="M196" t="s">
        <v>114</v>
      </c>
      <c r="N196">
        <v>75</v>
      </c>
      <c r="O196" t="s">
        <v>43</v>
      </c>
      <c r="P196" t="s">
        <v>78</v>
      </c>
      <c r="Q196" t="s">
        <v>115</v>
      </c>
      <c r="R196" s="7">
        <v>3.5</v>
      </c>
      <c r="S196" s="7">
        <v>3.5</v>
      </c>
      <c r="T196" t="s">
        <v>29</v>
      </c>
    </row>
    <row r="197" spans="1:20" x14ac:dyDescent="0.3">
      <c r="A197">
        <v>196</v>
      </c>
      <c r="B197" s="1">
        <v>44927</v>
      </c>
      <c r="C197">
        <v>2023</v>
      </c>
      <c r="D197">
        <v>1</v>
      </c>
      <c r="E197" t="s">
        <v>20</v>
      </c>
      <c r="F197">
        <v>1</v>
      </c>
      <c r="G197" t="s">
        <v>21</v>
      </c>
      <c r="H197" s="2">
        <v>46203.616759259261</v>
      </c>
      <c r="I197">
        <v>12</v>
      </c>
      <c r="J197" t="s">
        <v>120</v>
      </c>
      <c r="K197" s="8">
        <v>2</v>
      </c>
      <c r="L197">
        <v>3</v>
      </c>
      <c r="M197" t="s">
        <v>114</v>
      </c>
      <c r="N197">
        <v>38</v>
      </c>
      <c r="O197" t="s">
        <v>24</v>
      </c>
      <c r="P197" t="s">
        <v>48</v>
      </c>
      <c r="Q197" t="s">
        <v>81</v>
      </c>
      <c r="R197" s="7">
        <v>3.75</v>
      </c>
      <c r="S197" s="7">
        <v>7.5</v>
      </c>
      <c r="T197" t="s">
        <v>29</v>
      </c>
    </row>
    <row r="198" spans="1:20" x14ac:dyDescent="0.3">
      <c r="A198">
        <v>197</v>
      </c>
      <c r="B198" s="1">
        <v>44927</v>
      </c>
      <c r="C198">
        <v>2023</v>
      </c>
      <c r="D198">
        <v>1</v>
      </c>
      <c r="E198" t="s">
        <v>20</v>
      </c>
      <c r="F198">
        <v>1</v>
      </c>
      <c r="G198" t="s">
        <v>21</v>
      </c>
      <c r="H198" s="2">
        <v>46203.61791666667</v>
      </c>
      <c r="I198">
        <v>12</v>
      </c>
      <c r="J198" t="s">
        <v>120</v>
      </c>
      <c r="K198" s="8">
        <v>1</v>
      </c>
      <c r="L198">
        <v>8</v>
      </c>
      <c r="M198" t="s">
        <v>64</v>
      </c>
      <c r="N198">
        <v>30</v>
      </c>
      <c r="O198" t="s">
        <v>24</v>
      </c>
      <c r="P198" t="s">
        <v>25</v>
      </c>
      <c r="Q198" t="s">
        <v>119</v>
      </c>
      <c r="R198" s="7">
        <v>3</v>
      </c>
      <c r="S198" s="7">
        <v>3</v>
      </c>
      <c r="T198" t="s">
        <v>29</v>
      </c>
    </row>
    <row r="199" spans="1:20" x14ac:dyDescent="0.3">
      <c r="A199">
        <v>198</v>
      </c>
      <c r="B199" s="1">
        <v>44927</v>
      </c>
      <c r="C199">
        <v>2023</v>
      </c>
      <c r="D199">
        <v>1</v>
      </c>
      <c r="E199" t="s">
        <v>20</v>
      </c>
      <c r="F199">
        <v>1</v>
      </c>
      <c r="G199" t="s">
        <v>21</v>
      </c>
      <c r="H199" s="2">
        <v>46203.61822916667</v>
      </c>
      <c r="I199">
        <v>12</v>
      </c>
      <c r="J199" t="s">
        <v>120</v>
      </c>
      <c r="K199" s="8">
        <v>1</v>
      </c>
      <c r="L199">
        <v>3</v>
      </c>
      <c r="M199" t="s">
        <v>114</v>
      </c>
      <c r="N199">
        <v>59</v>
      </c>
      <c r="O199" t="s">
        <v>35</v>
      </c>
      <c r="P199" t="s">
        <v>36</v>
      </c>
      <c r="Q199" t="s">
        <v>37</v>
      </c>
      <c r="R199" s="7">
        <v>4.5</v>
      </c>
      <c r="S199" s="7">
        <v>4.5</v>
      </c>
      <c r="T199" t="s">
        <v>29</v>
      </c>
    </row>
    <row r="200" spans="1:20" x14ac:dyDescent="0.3">
      <c r="A200">
        <v>199</v>
      </c>
      <c r="B200" s="1">
        <v>44927</v>
      </c>
      <c r="C200">
        <v>2023</v>
      </c>
      <c r="D200">
        <v>1</v>
      </c>
      <c r="E200" t="s">
        <v>20</v>
      </c>
      <c r="F200">
        <v>1</v>
      </c>
      <c r="G200" t="s">
        <v>21</v>
      </c>
      <c r="H200" s="2">
        <v>46203.618379629632</v>
      </c>
      <c r="I200">
        <v>12</v>
      </c>
      <c r="J200" t="s">
        <v>120</v>
      </c>
      <c r="K200" s="8">
        <v>2</v>
      </c>
      <c r="L200">
        <v>3</v>
      </c>
      <c r="M200" t="s">
        <v>114</v>
      </c>
      <c r="N200">
        <v>32</v>
      </c>
      <c r="O200" t="s">
        <v>24</v>
      </c>
      <c r="P200" t="s">
        <v>25</v>
      </c>
      <c r="Q200" t="s">
        <v>26</v>
      </c>
      <c r="R200" s="7">
        <v>3</v>
      </c>
      <c r="S200" s="7">
        <v>6</v>
      </c>
      <c r="T200" t="s">
        <v>29</v>
      </c>
    </row>
    <row r="201" spans="1:20" x14ac:dyDescent="0.3">
      <c r="A201">
        <v>200</v>
      </c>
      <c r="B201" s="1">
        <v>44927</v>
      </c>
      <c r="C201">
        <v>2023</v>
      </c>
      <c r="D201">
        <v>1</v>
      </c>
      <c r="E201" t="s">
        <v>20</v>
      </c>
      <c r="F201">
        <v>1</v>
      </c>
      <c r="G201" t="s">
        <v>21</v>
      </c>
      <c r="H201" s="2">
        <v>46203.618993055556</v>
      </c>
      <c r="I201">
        <v>12</v>
      </c>
      <c r="J201" t="s">
        <v>120</v>
      </c>
      <c r="K201" s="8">
        <v>1</v>
      </c>
      <c r="L201">
        <v>8</v>
      </c>
      <c r="M201" t="s">
        <v>64</v>
      </c>
      <c r="N201">
        <v>53</v>
      </c>
      <c r="O201" t="s">
        <v>30</v>
      </c>
      <c r="P201" t="s">
        <v>31</v>
      </c>
      <c r="Q201" t="s">
        <v>104</v>
      </c>
      <c r="R201" s="7">
        <v>3</v>
      </c>
      <c r="S201" s="7">
        <v>3</v>
      </c>
      <c r="T201" t="s">
        <v>29</v>
      </c>
    </row>
    <row r="202" spans="1:20" x14ac:dyDescent="0.3">
      <c r="A202">
        <v>201</v>
      </c>
      <c r="B202" s="1">
        <v>44927</v>
      </c>
      <c r="C202">
        <v>2023</v>
      </c>
      <c r="D202">
        <v>1</v>
      </c>
      <c r="E202" t="s">
        <v>20</v>
      </c>
      <c r="F202">
        <v>1</v>
      </c>
      <c r="G202" t="s">
        <v>21</v>
      </c>
      <c r="H202" s="2">
        <v>46203.619409722225</v>
      </c>
      <c r="I202">
        <v>12</v>
      </c>
      <c r="J202" t="s">
        <v>120</v>
      </c>
      <c r="K202" s="8">
        <v>1</v>
      </c>
      <c r="L202">
        <v>5</v>
      </c>
      <c r="M202" t="s">
        <v>23</v>
      </c>
      <c r="N202">
        <v>61</v>
      </c>
      <c r="O202" t="s">
        <v>35</v>
      </c>
      <c r="P202" t="s">
        <v>36</v>
      </c>
      <c r="Q202" t="s">
        <v>68</v>
      </c>
      <c r="R202" s="7">
        <v>4.75</v>
      </c>
      <c r="S202" s="7">
        <v>4.75</v>
      </c>
      <c r="T202" t="s">
        <v>29</v>
      </c>
    </row>
    <row r="203" spans="1:20" x14ac:dyDescent="0.3">
      <c r="A203">
        <v>202</v>
      </c>
      <c r="B203" s="1">
        <v>44927</v>
      </c>
      <c r="C203">
        <v>2023</v>
      </c>
      <c r="D203">
        <v>1</v>
      </c>
      <c r="E203" t="s">
        <v>20</v>
      </c>
      <c r="F203">
        <v>1</v>
      </c>
      <c r="G203" t="s">
        <v>21</v>
      </c>
      <c r="H203" s="2">
        <v>46203.619409722225</v>
      </c>
      <c r="I203">
        <v>12</v>
      </c>
      <c r="J203" t="s">
        <v>120</v>
      </c>
      <c r="K203" s="8">
        <v>1</v>
      </c>
      <c r="L203">
        <v>5</v>
      </c>
      <c r="M203" t="s">
        <v>23</v>
      </c>
      <c r="N203">
        <v>72</v>
      </c>
      <c r="O203" t="s">
        <v>43</v>
      </c>
      <c r="P203" t="s">
        <v>44</v>
      </c>
      <c r="Q203" t="s">
        <v>109</v>
      </c>
      <c r="R203" s="7">
        <v>3.25</v>
      </c>
      <c r="S203" s="7">
        <v>3.25</v>
      </c>
      <c r="T203" t="s">
        <v>29</v>
      </c>
    </row>
    <row r="204" spans="1:20" x14ac:dyDescent="0.3">
      <c r="A204">
        <v>203</v>
      </c>
      <c r="B204" s="1">
        <v>44927</v>
      </c>
      <c r="C204">
        <v>2023</v>
      </c>
      <c r="D204">
        <v>1</v>
      </c>
      <c r="E204" t="s">
        <v>20</v>
      </c>
      <c r="F204">
        <v>1</v>
      </c>
      <c r="G204" t="s">
        <v>21</v>
      </c>
      <c r="H204" s="2">
        <v>46203.619652777779</v>
      </c>
      <c r="I204">
        <v>12</v>
      </c>
      <c r="J204" t="s">
        <v>120</v>
      </c>
      <c r="K204" s="8">
        <v>1</v>
      </c>
      <c r="L204">
        <v>5</v>
      </c>
      <c r="M204" t="s">
        <v>23</v>
      </c>
      <c r="N204">
        <v>56</v>
      </c>
      <c r="O204" t="s">
        <v>30</v>
      </c>
      <c r="P204" t="s">
        <v>31</v>
      </c>
      <c r="Q204" t="s">
        <v>54</v>
      </c>
      <c r="R204" s="7">
        <v>2.5499999999999998</v>
      </c>
      <c r="S204" s="7">
        <v>2.5499999999999998</v>
      </c>
      <c r="T204" t="s">
        <v>29</v>
      </c>
    </row>
    <row r="205" spans="1:20" x14ac:dyDescent="0.3">
      <c r="A205">
        <v>204</v>
      </c>
      <c r="B205" s="1">
        <v>44927</v>
      </c>
      <c r="C205">
        <v>2023</v>
      </c>
      <c r="D205">
        <v>1</v>
      </c>
      <c r="E205" t="s">
        <v>20</v>
      </c>
      <c r="F205">
        <v>1</v>
      </c>
      <c r="G205" t="s">
        <v>21</v>
      </c>
      <c r="H205" s="2">
        <v>46203.619652777779</v>
      </c>
      <c r="I205">
        <v>12</v>
      </c>
      <c r="J205" t="s">
        <v>120</v>
      </c>
      <c r="K205" s="8">
        <v>1</v>
      </c>
      <c r="L205">
        <v>5</v>
      </c>
      <c r="M205" t="s">
        <v>23</v>
      </c>
      <c r="N205">
        <v>75</v>
      </c>
      <c r="O205" t="s">
        <v>43</v>
      </c>
      <c r="P205" t="s">
        <v>78</v>
      </c>
      <c r="Q205" t="s">
        <v>115</v>
      </c>
      <c r="R205" s="7">
        <v>3.5</v>
      </c>
      <c r="S205" s="7">
        <v>3.5</v>
      </c>
      <c r="T205" t="s">
        <v>29</v>
      </c>
    </row>
    <row r="206" spans="1:20" x14ac:dyDescent="0.3">
      <c r="A206">
        <v>205</v>
      </c>
      <c r="B206" s="1">
        <v>44927</v>
      </c>
      <c r="C206">
        <v>2023</v>
      </c>
      <c r="D206">
        <v>1</v>
      </c>
      <c r="E206" t="s">
        <v>20</v>
      </c>
      <c r="F206">
        <v>1</v>
      </c>
      <c r="G206" t="s">
        <v>21</v>
      </c>
      <c r="H206" s="2">
        <v>46203.620266203703</v>
      </c>
      <c r="I206">
        <v>12</v>
      </c>
      <c r="J206" t="s">
        <v>120</v>
      </c>
      <c r="K206" s="8">
        <v>2</v>
      </c>
      <c r="L206">
        <v>8</v>
      </c>
      <c r="M206" t="s">
        <v>64</v>
      </c>
      <c r="N206">
        <v>29</v>
      </c>
      <c r="O206" t="s">
        <v>24</v>
      </c>
      <c r="P206" t="s">
        <v>25</v>
      </c>
      <c r="Q206" t="s">
        <v>85</v>
      </c>
      <c r="R206" s="7">
        <v>2.5</v>
      </c>
      <c r="S206" s="7">
        <v>5</v>
      </c>
      <c r="T206" t="s">
        <v>29</v>
      </c>
    </row>
    <row r="207" spans="1:20" x14ac:dyDescent="0.3">
      <c r="A207">
        <v>206</v>
      </c>
      <c r="B207" s="1">
        <v>44927</v>
      </c>
      <c r="C207">
        <v>2023</v>
      </c>
      <c r="D207">
        <v>1</v>
      </c>
      <c r="E207" t="s">
        <v>20</v>
      </c>
      <c r="F207">
        <v>1</v>
      </c>
      <c r="G207" t="s">
        <v>21</v>
      </c>
      <c r="H207" s="2">
        <v>46203.620821759258</v>
      </c>
      <c r="I207">
        <v>12</v>
      </c>
      <c r="J207" t="s">
        <v>120</v>
      </c>
      <c r="K207" s="8">
        <v>1</v>
      </c>
      <c r="L207">
        <v>8</v>
      </c>
      <c r="M207" t="s">
        <v>64</v>
      </c>
      <c r="N207">
        <v>37</v>
      </c>
      <c r="O207" t="s">
        <v>24</v>
      </c>
      <c r="P207" t="s">
        <v>48</v>
      </c>
      <c r="Q207" t="s">
        <v>107</v>
      </c>
      <c r="R207" s="7">
        <v>3</v>
      </c>
      <c r="S207" s="7">
        <v>3</v>
      </c>
      <c r="T207" t="s">
        <v>29</v>
      </c>
    </row>
    <row r="208" spans="1:20" x14ac:dyDescent="0.3">
      <c r="A208">
        <v>207</v>
      </c>
      <c r="B208" s="1">
        <v>44927</v>
      </c>
      <c r="C208">
        <v>2023</v>
      </c>
      <c r="D208">
        <v>1</v>
      </c>
      <c r="E208" t="s">
        <v>20</v>
      </c>
      <c r="F208">
        <v>1</v>
      </c>
      <c r="G208" t="s">
        <v>21</v>
      </c>
      <c r="H208" s="2">
        <v>46203.621817129628</v>
      </c>
      <c r="I208">
        <v>12</v>
      </c>
      <c r="J208" t="s">
        <v>120</v>
      </c>
      <c r="K208" s="8">
        <v>1</v>
      </c>
      <c r="L208">
        <v>3</v>
      </c>
      <c r="M208" t="s">
        <v>114</v>
      </c>
      <c r="N208">
        <v>49</v>
      </c>
      <c r="O208" t="s">
        <v>30</v>
      </c>
      <c r="P208" t="s">
        <v>57</v>
      </c>
      <c r="Q208" t="s">
        <v>117</v>
      </c>
      <c r="R208" s="7">
        <v>3</v>
      </c>
      <c r="S208" s="7">
        <v>3</v>
      </c>
      <c r="T208" t="s">
        <v>29</v>
      </c>
    </row>
    <row r="209" spans="1:20" x14ac:dyDescent="0.3">
      <c r="A209">
        <v>208</v>
      </c>
      <c r="B209" s="1">
        <v>44927</v>
      </c>
      <c r="C209">
        <v>2023</v>
      </c>
      <c r="D209">
        <v>1</v>
      </c>
      <c r="E209" t="s">
        <v>20</v>
      </c>
      <c r="F209">
        <v>1</v>
      </c>
      <c r="G209" t="s">
        <v>21</v>
      </c>
      <c r="H209" s="2">
        <v>46203.621840277781</v>
      </c>
      <c r="I209">
        <v>12</v>
      </c>
      <c r="J209" t="s">
        <v>120</v>
      </c>
      <c r="K209" s="8">
        <v>1</v>
      </c>
      <c r="L209">
        <v>5</v>
      </c>
      <c r="M209" t="s">
        <v>23</v>
      </c>
      <c r="N209">
        <v>57</v>
      </c>
      <c r="O209" t="s">
        <v>30</v>
      </c>
      <c r="P209" t="s">
        <v>31</v>
      </c>
      <c r="Q209" t="s">
        <v>32</v>
      </c>
      <c r="R209" s="7">
        <v>3.1</v>
      </c>
      <c r="S209" s="7">
        <v>3.1</v>
      </c>
      <c r="T209" t="s">
        <v>29</v>
      </c>
    </row>
    <row r="210" spans="1:20" x14ac:dyDescent="0.3">
      <c r="A210">
        <v>209</v>
      </c>
      <c r="B210" s="1">
        <v>44927</v>
      </c>
      <c r="C210">
        <v>2023</v>
      </c>
      <c r="D210">
        <v>1</v>
      </c>
      <c r="E210" t="s">
        <v>20</v>
      </c>
      <c r="F210">
        <v>1</v>
      </c>
      <c r="G210" t="s">
        <v>21</v>
      </c>
      <c r="H210" s="2">
        <v>46203.621840277781</v>
      </c>
      <c r="I210">
        <v>12</v>
      </c>
      <c r="J210" t="s">
        <v>120</v>
      </c>
      <c r="K210" s="8">
        <v>1</v>
      </c>
      <c r="L210">
        <v>5</v>
      </c>
      <c r="M210" t="s">
        <v>23</v>
      </c>
      <c r="N210">
        <v>75</v>
      </c>
      <c r="O210" t="s">
        <v>43</v>
      </c>
      <c r="P210" t="s">
        <v>78</v>
      </c>
      <c r="Q210" t="s">
        <v>115</v>
      </c>
      <c r="R210" s="7">
        <v>3.5</v>
      </c>
      <c r="S210" s="7">
        <v>3.5</v>
      </c>
      <c r="T210" t="s">
        <v>29</v>
      </c>
    </row>
    <row r="211" spans="1:20" x14ac:dyDescent="0.3">
      <c r="A211">
        <v>210</v>
      </c>
      <c r="B211" s="1">
        <v>44927</v>
      </c>
      <c r="C211">
        <v>2023</v>
      </c>
      <c r="D211">
        <v>1</v>
      </c>
      <c r="E211" t="s">
        <v>20</v>
      </c>
      <c r="F211">
        <v>1</v>
      </c>
      <c r="G211" t="s">
        <v>21</v>
      </c>
      <c r="H211" s="2">
        <v>46203.621944444443</v>
      </c>
      <c r="I211">
        <v>12</v>
      </c>
      <c r="J211" t="s">
        <v>120</v>
      </c>
      <c r="K211" s="8">
        <v>1</v>
      </c>
      <c r="L211">
        <v>8</v>
      </c>
      <c r="M211" t="s">
        <v>64</v>
      </c>
      <c r="N211">
        <v>45</v>
      </c>
      <c r="O211" t="s">
        <v>30</v>
      </c>
      <c r="P211" t="s">
        <v>65</v>
      </c>
      <c r="Q211" t="s">
        <v>77</v>
      </c>
      <c r="R211" s="7">
        <v>3</v>
      </c>
      <c r="S211" s="7">
        <v>3</v>
      </c>
      <c r="T211" t="s">
        <v>29</v>
      </c>
    </row>
    <row r="212" spans="1:20" x14ac:dyDescent="0.3">
      <c r="A212">
        <v>211</v>
      </c>
      <c r="B212" s="1">
        <v>44927</v>
      </c>
      <c r="C212">
        <v>2023</v>
      </c>
      <c r="D212">
        <v>1</v>
      </c>
      <c r="E212" t="s">
        <v>20</v>
      </c>
      <c r="F212">
        <v>1</v>
      </c>
      <c r="G212" t="s">
        <v>21</v>
      </c>
      <c r="H212" s="2">
        <v>46203.622141203705</v>
      </c>
      <c r="I212">
        <v>12</v>
      </c>
      <c r="J212" t="s">
        <v>120</v>
      </c>
      <c r="K212" s="8">
        <v>2</v>
      </c>
      <c r="L212">
        <v>8</v>
      </c>
      <c r="M212" t="s">
        <v>64</v>
      </c>
      <c r="N212">
        <v>26</v>
      </c>
      <c r="O212" t="s">
        <v>24</v>
      </c>
      <c r="P212" t="s">
        <v>82</v>
      </c>
      <c r="Q212" t="s">
        <v>83</v>
      </c>
      <c r="R212" s="7">
        <v>3</v>
      </c>
      <c r="S212" s="7">
        <v>6</v>
      </c>
      <c r="T212" t="s">
        <v>29</v>
      </c>
    </row>
    <row r="213" spans="1:20" x14ac:dyDescent="0.3">
      <c r="A213">
        <v>212</v>
      </c>
      <c r="B213" s="1">
        <v>44927</v>
      </c>
      <c r="C213">
        <v>2023</v>
      </c>
      <c r="D213">
        <v>1</v>
      </c>
      <c r="E213" t="s">
        <v>20</v>
      </c>
      <c r="F213">
        <v>1</v>
      </c>
      <c r="G213" t="s">
        <v>21</v>
      </c>
      <c r="H213" s="2">
        <v>46203.622604166667</v>
      </c>
      <c r="I213">
        <v>12</v>
      </c>
      <c r="J213" t="s">
        <v>120</v>
      </c>
      <c r="K213" s="8">
        <v>1</v>
      </c>
      <c r="L213">
        <v>3</v>
      </c>
      <c r="M213" t="s">
        <v>114</v>
      </c>
      <c r="N213">
        <v>61</v>
      </c>
      <c r="O213" t="s">
        <v>35</v>
      </c>
      <c r="P213" t="s">
        <v>36</v>
      </c>
      <c r="Q213" t="s">
        <v>68</v>
      </c>
      <c r="R213" s="7">
        <v>4.75</v>
      </c>
      <c r="S213" s="7">
        <v>4.75</v>
      </c>
      <c r="T213" t="s">
        <v>29</v>
      </c>
    </row>
    <row r="214" spans="1:20" x14ac:dyDescent="0.3">
      <c r="A214">
        <v>213</v>
      </c>
      <c r="B214" s="1">
        <v>44927</v>
      </c>
      <c r="C214">
        <v>2023</v>
      </c>
      <c r="D214">
        <v>1</v>
      </c>
      <c r="E214" t="s">
        <v>20</v>
      </c>
      <c r="F214">
        <v>1</v>
      </c>
      <c r="G214" t="s">
        <v>21</v>
      </c>
      <c r="H214" s="2">
        <v>46203.62290509259</v>
      </c>
      <c r="I214">
        <v>12</v>
      </c>
      <c r="J214" t="s">
        <v>120</v>
      </c>
      <c r="K214" s="8">
        <v>1</v>
      </c>
      <c r="L214">
        <v>3</v>
      </c>
      <c r="M214" t="s">
        <v>114</v>
      </c>
      <c r="N214">
        <v>47</v>
      </c>
      <c r="O214" t="s">
        <v>30</v>
      </c>
      <c r="P214" t="s">
        <v>60</v>
      </c>
      <c r="Q214" t="s">
        <v>61</v>
      </c>
      <c r="R214" s="7">
        <v>3</v>
      </c>
      <c r="S214" s="7">
        <v>3</v>
      </c>
      <c r="T214" t="s">
        <v>29</v>
      </c>
    </row>
    <row r="215" spans="1:20" x14ac:dyDescent="0.3">
      <c r="A215">
        <v>214</v>
      </c>
      <c r="B215" s="1">
        <v>44927</v>
      </c>
      <c r="C215">
        <v>2023</v>
      </c>
      <c r="D215">
        <v>1</v>
      </c>
      <c r="E215" t="s">
        <v>20</v>
      </c>
      <c r="F215">
        <v>1</v>
      </c>
      <c r="G215" t="s">
        <v>21</v>
      </c>
      <c r="H215" s="2">
        <v>46203.624236111114</v>
      </c>
      <c r="I215">
        <v>12</v>
      </c>
      <c r="J215" t="s">
        <v>120</v>
      </c>
      <c r="K215" s="8">
        <v>2</v>
      </c>
      <c r="L215">
        <v>3</v>
      </c>
      <c r="M215" t="s">
        <v>114</v>
      </c>
      <c r="N215">
        <v>44</v>
      </c>
      <c r="O215" t="s">
        <v>30</v>
      </c>
      <c r="P215" t="s">
        <v>65</v>
      </c>
      <c r="Q215" t="s">
        <v>92</v>
      </c>
      <c r="R215" s="7">
        <v>2.5</v>
      </c>
      <c r="S215" s="7">
        <v>5</v>
      </c>
      <c r="T215" t="s">
        <v>29</v>
      </c>
    </row>
    <row r="216" spans="1:20" x14ac:dyDescent="0.3">
      <c r="A216">
        <v>215</v>
      </c>
      <c r="B216" s="1">
        <v>44927</v>
      </c>
      <c r="C216">
        <v>2023</v>
      </c>
      <c r="D216">
        <v>1</v>
      </c>
      <c r="E216" t="s">
        <v>20</v>
      </c>
      <c r="F216">
        <v>1</v>
      </c>
      <c r="G216" t="s">
        <v>21</v>
      </c>
      <c r="H216" s="2">
        <v>46203.624374999999</v>
      </c>
      <c r="I216">
        <v>12</v>
      </c>
      <c r="J216" t="s">
        <v>120</v>
      </c>
      <c r="K216" s="8">
        <v>1</v>
      </c>
      <c r="L216">
        <v>8</v>
      </c>
      <c r="M216" t="s">
        <v>64</v>
      </c>
      <c r="N216">
        <v>36</v>
      </c>
      <c r="O216" t="s">
        <v>24</v>
      </c>
      <c r="P216" t="s">
        <v>99</v>
      </c>
      <c r="Q216" t="s">
        <v>102</v>
      </c>
      <c r="R216" s="7">
        <v>3.75</v>
      </c>
      <c r="S216" s="7">
        <v>3.75</v>
      </c>
      <c r="T216" t="s">
        <v>29</v>
      </c>
    </row>
    <row r="217" spans="1:20" x14ac:dyDescent="0.3">
      <c r="A217">
        <v>216</v>
      </c>
      <c r="B217" s="1">
        <v>44927</v>
      </c>
      <c r="C217">
        <v>2023</v>
      </c>
      <c r="D217">
        <v>1</v>
      </c>
      <c r="E217" t="s">
        <v>20</v>
      </c>
      <c r="F217">
        <v>1</v>
      </c>
      <c r="G217" t="s">
        <v>21</v>
      </c>
      <c r="H217" s="2">
        <v>46203.625439814816</v>
      </c>
      <c r="I217">
        <v>13</v>
      </c>
      <c r="J217" t="s">
        <v>120</v>
      </c>
      <c r="K217" s="8">
        <v>2</v>
      </c>
      <c r="L217">
        <v>5</v>
      </c>
      <c r="M217" t="s">
        <v>23</v>
      </c>
      <c r="N217">
        <v>30</v>
      </c>
      <c r="O217" t="s">
        <v>24</v>
      </c>
      <c r="P217" t="s">
        <v>25</v>
      </c>
      <c r="Q217" t="s">
        <v>119</v>
      </c>
      <c r="R217" s="7">
        <v>3</v>
      </c>
      <c r="S217" s="7">
        <v>6</v>
      </c>
      <c r="T217" t="s">
        <v>29</v>
      </c>
    </row>
    <row r="218" spans="1:20" x14ac:dyDescent="0.3">
      <c r="A218">
        <v>217</v>
      </c>
      <c r="B218" s="1">
        <v>44927</v>
      </c>
      <c r="C218">
        <v>2023</v>
      </c>
      <c r="D218">
        <v>1</v>
      </c>
      <c r="E218" t="s">
        <v>20</v>
      </c>
      <c r="F218">
        <v>1</v>
      </c>
      <c r="G218" t="s">
        <v>21</v>
      </c>
      <c r="H218" s="2">
        <v>46203.626076388886</v>
      </c>
      <c r="I218">
        <v>13</v>
      </c>
      <c r="J218" t="s">
        <v>120</v>
      </c>
      <c r="K218" s="8">
        <v>2</v>
      </c>
      <c r="L218">
        <v>5</v>
      </c>
      <c r="M218" t="s">
        <v>23</v>
      </c>
      <c r="N218">
        <v>25</v>
      </c>
      <c r="O218" t="s">
        <v>24</v>
      </c>
      <c r="P218" t="s">
        <v>82</v>
      </c>
      <c r="Q218" t="s">
        <v>96</v>
      </c>
      <c r="R218" s="7">
        <v>2.2000000000000002</v>
      </c>
      <c r="S218" s="7">
        <v>4.4000000000000004</v>
      </c>
      <c r="T218" t="s">
        <v>29</v>
      </c>
    </row>
    <row r="219" spans="1:20" x14ac:dyDescent="0.3">
      <c r="A219">
        <v>218</v>
      </c>
      <c r="B219" s="1">
        <v>44927</v>
      </c>
      <c r="C219">
        <v>2023</v>
      </c>
      <c r="D219">
        <v>1</v>
      </c>
      <c r="E219" t="s">
        <v>20</v>
      </c>
      <c r="F219">
        <v>1</v>
      </c>
      <c r="G219" t="s">
        <v>21</v>
      </c>
      <c r="H219" s="2">
        <v>46203.626851851855</v>
      </c>
      <c r="I219">
        <v>13</v>
      </c>
      <c r="J219" t="s">
        <v>120</v>
      </c>
      <c r="K219" s="8">
        <v>1</v>
      </c>
      <c r="L219">
        <v>8</v>
      </c>
      <c r="M219" t="s">
        <v>64</v>
      </c>
      <c r="N219">
        <v>49</v>
      </c>
      <c r="O219" t="s">
        <v>30</v>
      </c>
      <c r="P219" t="s">
        <v>57</v>
      </c>
      <c r="Q219" t="s">
        <v>117</v>
      </c>
      <c r="R219" s="7">
        <v>3</v>
      </c>
      <c r="S219" s="7">
        <v>3</v>
      </c>
      <c r="T219" t="s">
        <v>29</v>
      </c>
    </row>
    <row r="220" spans="1:20" x14ac:dyDescent="0.3">
      <c r="A220">
        <v>219</v>
      </c>
      <c r="B220" s="1">
        <v>44927</v>
      </c>
      <c r="C220">
        <v>2023</v>
      </c>
      <c r="D220">
        <v>1</v>
      </c>
      <c r="E220" t="s">
        <v>20</v>
      </c>
      <c r="F220">
        <v>1</v>
      </c>
      <c r="G220" t="s">
        <v>21</v>
      </c>
      <c r="H220" s="2">
        <v>46203.626851851855</v>
      </c>
      <c r="I220">
        <v>13</v>
      </c>
      <c r="J220" t="s">
        <v>120</v>
      </c>
      <c r="K220" s="8">
        <v>1</v>
      </c>
      <c r="L220">
        <v>8</v>
      </c>
      <c r="M220" t="s">
        <v>64</v>
      </c>
      <c r="N220">
        <v>78</v>
      </c>
      <c r="O220" t="s">
        <v>43</v>
      </c>
      <c r="P220" t="s">
        <v>44</v>
      </c>
      <c r="Q220" t="s">
        <v>91</v>
      </c>
      <c r="R220" s="7">
        <v>4.5</v>
      </c>
      <c r="S220" s="7">
        <v>4.5</v>
      </c>
      <c r="T220" t="s">
        <v>29</v>
      </c>
    </row>
    <row r="221" spans="1:20" x14ac:dyDescent="0.3">
      <c r="A221">
        <v>220</v>
      </c>
      <c r="B221" s="1">
        <v>44927</v>
      </c>
      <c r="C221">
        <v>2023</v>
      </c>
      <c r="D221">
        <v>1</v>
      </c>
      <c r="E221" t="s">
        <v>20</v>
      </c>
      <c r="F221">
        <v>1</v>
      </c>
      <c r="G221" t="s">
        <v>21</v>
      </c>
      <c r="H221" s="2">
        <v>46203.62699074074</v>
      </c>
      <c r="I221">
        <v>13</v>
      </c>
      <c r="J221" t="s">
        <v>120</v>
      </c>
      <c r="K221" s="8">
        <v>1</v>
      </c>
      <c r="L221">
        <v>8</v>
      </c>
      <c r="M221" t="s">
        <v>64</v>
      </c>
      <c r="N221">
        <v>26</v>
      </c>
      <c r="O221" t="s">
        <v>24</v>
      </c>
      <c r="P221" t="s">
        <v>82</v>
      </c>
      <c r="Q221" t="s">
        <v>83</v>
      </c>
      <c r="R221" s="7">
        <v>3</v>
      </c>
      <c r="S221" s="7">
        <v>3</v>
      </c>
      <c r="T221" t="s">
        <v>29</v>
      </c>
    </row>
    <row r="222" spans="1:20" x14ac:dyDescent="0.3">
      <c r="A222">
        <v>221</v>
      </c>
      <c r="B222" s="1">
        <v>44927</v>
      </c>
      <c r="C222">
        <v>2023</v>
      </c>
      <c r="D222">
        <v>1</v>
      </c>
      <c r="E222" t="s">
        <v>20</v>
      </c>
      <c r="F222">
        <v>1</v>
      </c>
      <c r="G222" t="s">
        <v>21</v>
      </c>
      <c r="H222" s="2">
        <v>46203.627233796295</v>
      </c>
      <c r="I222">
        <v>13</v>
      </c>
      <c r="J222" t="s">
        <v>120</v>
      </c>
      <c r="K222" s="8">
        <v>2</v>
      </c>
      <c r="L222">
        <v>3</v>
      </c>
      <c r="M222" t="s">
        <v>114</v>
      </c>
      <c r="N222">
        <v>43</v>
      </c>
      <c r="O222" t="s">
        <v>30</v>
      </c>
      <c r="P222" t="s">
        <v>65</v>
      </c>
      <c r="Q222" t="s">
        <v>75</v>
      </c>
      <c r="R222" s="7">
        <v>3</v>
      </c>
      <c r="S222" s="7">
        <v>6</v>
      </c>
      <c r="T222" t="s">
        <v>29</v>
      </c>
    </row>
    <row r="223" spans="1:20" x14ac:dyDescent="0.3">
      <c r="A223">
        <v>222</v>
      </c>
      <c r="B223" s="1">
        <v>44927</v>
      </c>
      <c r="C223">
        <v>2023</v>
      </c>
      <c r="D223">
        <v>1</v>
      </c>
      <c r="E223" t="s">
        <v>20</v>
      </c>
      <c r="F223">
        <v>1</v>
      </c>
      <c r="G223" t="s">
        <v>21</v>
      </c>
      <c r="H223" s="2">
        <v>46203.627789351849</v>
      </c>
      <c r="I223">
        <v>13</v>
      </c>
      <c r="J223" t="s">
        <v>120</v>
      </c>
      <c r="K223" s="8">
        <v>2</v>
      </c>
      <c r="L223">
        <v>8</v>
      </c>
      <c r="M223" t="s">
        <v>64</v>
      </c>
      <c r="N223">
        <v>25</v>
      </c>
      <c r="O223" t="s">
        <v>24</v>
      </c>
      <c r="P223" t="s">
        <v>82</v>
      </c>
      <c r="Q223" t="s">
        <v>96</v>
      </c>
      <c r="R223" s="7">
        <v>2.2000000000000002</v>
      </c>
      <c r="S223" s="7">
        <v>4.4000000000000004</v>
      </c>
      <c r="T223" t="s">
        <v>29</v>
      </c>
    </row>
    <row r="224" spans="1:20" x14ac:dyDescent="0.3">
      <c r="A224">
        <v>223</v>
      </c>
      <c r="B224" s="1">
        <v>44927</v>
      </c>
      <c r="C224">
        <v>2023</v>
      </c>
      <c r="D224">
        <v>1</v>
      </c>
      <c r="E224" t="s">
        <v>20</v>
      </c>
      <c r="F224">
        <v>1</v>
      </c>
      <c r="G224" t="s">
        <v>21</v>
      </c>
      <c r="H224" s="2">
        <v>46203.627789351849</v>
      </c>
      <c r="I224">
        <v>13</v>
      </c>
      <c r="J224" t="s">
        <v>120</v>
      </c>
      <c r="K224" s="8">
        <v>1</v>
      </c>
      <c r="L224">
        <v>8</v>
      </c>
      <c r="M224" t="s">
        <v>64</v>
      </c>
      <c r="N224">
        <v>72</v>
      </c>
      <c r="O224" t="s">
        <v>43</v>
      </c>
      <c r="P224" t="s">
        <v>44</v>
      </c>
      <c r="Q224" t="s">
        <v>109</v>
      </c>
      <c r="R224" s="7">
        <v>3.25</v>
      </c>
      <c r="S224" s="7">
        <v>3.25</v>
      </c>
      <c r="T224" t="s">
        <v>29</v>
      </c>
    </row>
    <row r="225" spans="1:20" x14ac:dyDescent="0.3">
      <c r="A225">
        <v>224</v>
      </c>
      <c r="B225" s="1">
        <v>44927</v>
      </c>
      <c r="C225">
        <v>2023</v>
      </c>
      <c r="D225">
        <v>1</v>
      </c>
      <c r="E225" t="s">
        <v>20</v>
      </c>
      <c r="F225">
        <v>1</v>
      </c>
      <c r="G225" t="s">
        <v>21</v>
      </c>
      <c r="H225" s="2">
        <v>46203.628032407411</v>
      </c>
      <c r="I225">
        <v>13</v>
      </c>
      <c r="J225" t="s">
        <v>120</v>
      </c>
      <c r="K225" s="8">
        <v>2</v>
      </c>
      <c r="L225">
        <v>8</v>
      </c>
      <c r="M225" t="s">
        <v>64</v>
      </c>
      <c r="N225">
        <v>42</v>
      </c>
      <c r="O225" t="s">
        <v>30</v>
      </c>
      <c r="P225" t="s">
        <v>65</v>
      </c>
      <c r="Q225" t="s">
        <v>66</v>
      </c>
      <c r="R225" s="7">
        <v>2.5</v>
      </c>
      <c r="S225" s="7">
        <v>5</v>
      </c>
      <c r="T225" t="s">
        <v>29</v>
      </c>
    </row>
    <row r="226" spans="1:20" x14ac:dyDescent="0.3">
      <c r="A226">
        <v>225</v>
      </c>
      <c r="B226" s="1">
        <v>44927</v>
      </c>
      <c r="C226">
        <v>2023</v>
      </c>
      <c r="D226">
        <v>1</v>
      </c>
      <c r="E226" t="s">
        <v>20</v>
      </c>
      <c r="F226">
        <v>1</v>
      </c>
      <c r="G226" t="s">
        <v>21</v>
      </c>
      <c r="H226" s="2">
        <v>46203.628206018519</v>
      </c>
      <c r="I226">
        <v>13</v>
      </c>
      <c r="J226" t="s">
        <v>120</v>
      </c>
      <c r="K226" s="8">
        <v>2</v>
      </c>
      <c r="L226">
        <v>8</v>
      </c>
      <c r="M226" t="s">
        <v>64</v>
      </c>
      <c r="N226">
        <v>54</v>
      </c>
      <c r="O226" t="s">
        <v>30</v>
      </c>
      <c r="P226" t="s">
        <v>31</v>
      </c>
      <c r="Q226" t="s">
        <v>87</v>
      </c>
      <c r="R226" s="7">
        <v>2.5</v>
      </c>
      <c r="S226" s="7">
        <v>5</v>
      </c>
      <c r="T226" t="s">
        <v>29</v>
      </c>
    </row>
    <row r="227" spans="1:20" x14ac:dyDescent="0.3">
      <c r="A227">
        <v>226</v>
      </c>
      <c r="B227" s="1">
        <v>44927</v>
      </c>
      <c r="C227">
        <v>2023</v>
      </c>
      <c r="D227">
        <v>1</v>
      </c>
      <c r="E227" t="s">
        <v>20</v>
      </c>
      <c r="F227">
        <v>1</v>
      </c>
      <c r="G227" t="s">
        <v>21</v>
      </c>
      <c r="H227" s="2">
        <v>46203.628368055557</v>
      </c>
      <c r="I227">
        <v>13</v>
      </c>
      <c r="J227" t="s">
        <v>120</v>
      </c>
      <c r="K227" s="8">
        <v>1</v>
      </c>
      <c r="L227">
        <v>3</v>
      </c>
      <c r="M227" t="s">
        <v>114</v>
      </c>
      <c r="N227">
        <v>22</v>
      </c>
      <c r="O227" t="s">
        <v>24</v>
      </c>
      <c r="P227" t="s">
        <v>40</v>
      </c>
      <c r="Q227" t="s">
        <v>41</v>
      </c>
      <c r="R227" s="7">
        <v>2</v>
      </c>
      <c r="S227" s="7">
        <v>2</v>
      </c>
      <c r="T227" t="s">
        <v>29</v>
      </c>
    </row>
    <row r="228" spans="1:20" x14ac:dyDescent="0.3">
      <c r="A228">
        <v>227</v>
      </c>
      <c r="B228" s="1">
        <v>44927</v>
      </c>
      <c r="C228">
        <v>2023</v>
      </c>
      <c r="D228">
        <v>1</v>
      </c>
      <c r="E228" t="s">
        <v>20</v>
      </c>
      <c r="F228">
        <v>1</v>
      </c>
      <c r="G228" t="s">
        <v>21</v>
      </c>
      <c r="H228" s="2">
        <v>46203.629120370373</v>
      </c>
      <c r="I228">
        <v>13</v>
      </c>
      <c r="J228" t="s">
        <v>120</v>
      </c>
      <c r="K228" s="8">
        <v>1</v>
      </c>
      <c r="L228">
        <v>3</v>
      </c>
      <c r="M228" t="s">
        <v>114</v>
      </c>
      <c r="N228">
        <v>58</v>
      </c>
      <c r="O228" t="s">
        <v>35</v>
      </c>
      <c r="P228" t="s">
        <v>36</v>
      </c>
      <c r="Q228" t="s">
        <v>51</v>
      </c>
      <c r="R228" s="7">
        <v>3.5</v>
      </c>
      <c r="S228" s="7">
        <v>3.5</v>
      </c>
      <c r="T228" t="s">
        <v>29</v>
      </c>
    </row>
    <row r="229" spans="1:20" x14ac:dyDescent="0.3">
      <c r="A229">
        <v>228</v>
      </c>
      <c r="B229" s="1">
        <v>44927</v>
      </c>
      <c r="C229">
        <v>2023</v>
      </c>
      <c r="D229">
        <v>1</v>
      </c>
      <c r="E229" t="s">
        <v>20</v>
      </c>
      <c r="F229">
        <v>1</v>
      </c>
      <c r="G229" t="s">
        <v>21</v>
      </c>
      <c r="H229" s="2">
        <v>46203.630289351851</v>
      </c>
      <c r="I229">
        <v>13</v>
      </c>
      <c r="J229" t="s">
        <v>120</v>
      </c>
      <c r="K229" s="8">
        <v>2</v>
      </c>
      <c r="L229">
        <v>5</v>
      </c>
      <c r="M229" t="s">
        <v>23</v>
      </c>
      <c r="N229">
        <v>24</v>
      </c>
      <c r="O229" t="s">
        <v>24</v>
      </c>
      <c r="P229" t="s">
        <v>40</v>
      </c>
      <c r="Q229" t="s">
        <v>89</v>
      </c>
      <c r="R229" s="7">
        <v>3</v>
      </c>
      <c r="S229" s="7">
        <v>6</v>
      </c>
      <c r="T229" t="s">
        <v>29</v>
      </c>
    </row>
    <row r="230" spans="1:20" x14ac:dyDescent="0.3">
      <c r="A230">
        <v>229</v>
      </c>
      <c r="B230" s="1">
        <v>44927</v>
      </c>
      <c r="C230">
        <v>2023</v>
      </c>
      <c r="D230">
        <v>1</v>
      </c>
      <c r="E230" t="s">
        <v>20</v>
      </c>
      <c r="F230">
        <v>1</v>
      </c>
      <c r="G230" t="s">
        <v>21</v>
      </c>
      <c r="H230" s="2">
        <v>46203.631284722222</v>
      </c>
      <c r="I230">
        <v>13</v>
      </c>
      <c r="J230" t="s">
        <v>120</v>
      </c>
      <c r="K230" s="8">
        <v>1</v>
      </c>
      <c r="L230">
        <v>3</v>
      </c>
      <c r="M230" t="s">
        <v>114</v>
      </c>
      <c r="N230">
        <v>35</v>
      </c>
      <c r="O230" t="s">
        <v>24</v>
      </c>
      <c r="P230" t="s">
        <v>99</v>
      </c>
      <c r="Q230" t="s">
        <v>110</v>
      </c>
      <c r="R230" s="7">
        <v>3.1</v>
      </c>
      <c r="S230" s="7">
        <v>3.1</v>
      </c>
      <c r="T230" t="s">
        <v>29</v>
      </c>
    </row>
    <row r="231" spans="1:20" x14ac:dyDescent="0.3">
      <c r="A231">
        <v>230</v>
      </c>
      <c r="B231" s="1">
        <v>44927</v>
      </c>
      <c r="C231">
        <v>2023</v>
      </c>
      <c r="D231">
        <v>1</v>
      </c>
      <c r="E231" t="s">
        <v>20</v>
      </c>
      <c r="F231">
        <v>1</v>
      </c>
      <c r="G231" t="s">
        <v>21</v>
      </c>
      <c r="H231" s="2">
        <v>46203.633368055554</v>
      </c>
      <c r="I231">
        <v>13</v>
      </c>
      <c r="J231" t="s">
        <v>120</v>
      </c>
      <c r="K231" s="8">
        <v>2</v>
      </c>
      <c r="L231">
        <v>5</v>
      </c>
      <c r="M231" t="s">
        <v>23</v>
      </c>
      <c r="N231">
        <v>30</v>
      </c>
      <c r="O231" t="s">
        <v>24</v>
      </c>
      <c r="P231" t="s">
        <v>25</v>
      </c>
      <c r="Q231" t="s">
        <v>119</v>
      </c>
      <c r="R231" s="7">
        <v>3</v>
      </c>
      <c r="S231" s="7">
        <v>6</v>
      </c>
      <c r="T231" t="s">
        <v>29</v>
      </c>
    </row>
    <row r="232" spans="1:20" x14ac:dyDescent="0.3">
      <c r="A232">
        <v>231</v>
      </c>
      <c r="B232" s="1">
        <v>44927</v>
      </c>
      <c r="C232">
        <v>2023</v>
      </c>
      <c r="D232">
        <v>1</v>
      </c>
      <c r="E232" t="s">
        <v>20</v>
      </c>
      <c r="F232">
        <v>1</v>
      </c>
      <c r="G232" t="s">
        <v>21</v>
      </c>
      <c r="H232" s="2">
        <v>46203.634131944447</v>
      </c>
      <c r="I232">
        <v>13</v>
      </c>
      <c r="J232" t="s">
        <v>120</v>
      </c>
      <c r="K232" s="8">
        <v>1</v>
      </c>
      <c r="L232">
        <v>5</v>
      </c>
      <c r="M232" t="s">
        <v>23</v>
      </c>
      <c r="N232">
        <v>60</v>
      </c>
      <c r="O232" t="s">
        <v>35</v>
      </c>
      <c r="P232" t="s">
        <v>36</v>
      </c>
      <c r="Q232" t="s">
        <v>90</v>
      </c>
      <c r="R232" s="7">
        <v>3.75</v>
      </c>
      <c r="S232" s="7">
        <v>3.75</v>
      </c>
      <c r="T232" t="s">
        <v>29</v>
      </c>
    </row>
    <row r="233" spans="1:20" x14ac:dyDescent="0.3">
      <c r="A233">
        <v>232</v>
      </c>
      <c r="B233" s="1">
        <v>44927</v>
      </c>
      <c r="C233">
        <v>2023</v>
      </c>
      <c r="D233">
        <v>1</v>
      </c>
      <c r="E233" t="s">
        <v>20</v>
      </c>
      <c r="F233">
        <v>1</v>
      </c>
      <c r="G233" t="s">
        <v>21</v>
      </c>
      <c r="H233" s="2">
        <v>46203.637152777781</v>
      </c>
      <c r="I233">
        <v>13</v>
      </c>
      <c r="J233" t="s">
        <v>120</v>
      </c>
      <c r="K233" s="8">
        <v>1</v>
      </c>
      <c r="L233">
        <v>8</v>
      </c>
      <c r="M233" t="s">
        <v>64</v>
      </c>
      <c r="N233">
        <v>56</v>
      </c>
      <c r="O233" t="s">
        <v>30</v>
      </c>
      <c r="P233" t="s">
        <v>31</v>
      </c>
      <c r="Q233" t="s">
        <v>54</v>
      </c>
      <c r="R233" s="7">
        <v>2.5499999999999998</v>
      </c>
      <c r="S233" s="7">
        <v>2.5499999999999998</v>
      </c>
      <c r="T233" t="s">
        <v>29</v>
      </c>
    </row>
    <row r="234" spans="1:20" x14ac:dyDescent="0.3">
      <c r="A234">
        <v>233</v>
      </c>
      <c r="B234" s="1">
        <v>44927</v>
      </c>
      <c r="C234">
        <v>2023</v>
      </c>
      <c r="D234">
        <v>1</v>
      </c>
      <c r="E234" t="s">
        <v>20</v>
      </c>
      <c r="F234">
        <v>1</v>
      </c>
      <c r="G234" t="s">
        <v>21</v>
      </c>
      <c r="H234" s="2">
        <v>46203.637175925927</v>
      </c>
      <c r="I234">
        <v>13</v>
      </c>
      <c r="J234" t="s">
        <v>120</v>
      </c>
      <c r="K234" s="8">
        <v>2</v>
      </c>
      <c r="L234">
        <v>3</v>
      </c>
      <c r="M234" t="s">
        <v>114</v>
      </c>
      <c r="N234">
        <v>55</v>
      </c>
      <c r="O234" t="s">
        <v>30</v>
      </c>
      <c r="P234" t="s">
        <v>31</v>
      </c>
      <c r="Q234" t="s">
        <v>88</v>
      </c>
      <c r="R234" s="7">
        <v>4</v>
      </c>
      <c r="S234" s="7">
        <v>8</v>
      </c>
      <c r="T234" t="s">
        <v>29</v>
      </c>
    </row>
    <row r="235" spans="1:20" x14ac:dyDescent="0.3">
      <c r="A235">
        <v>234</v>
      </c>
      <c r="B235" s="1">
        <v>44927</v>
      </c>
      <c r="C235">
        <v>2023</v>
      </c>
      <c r="D235">
        <v>1</v>
      </c>
      <c r="E235" t="s">
        <v>20</v>
      </c>
      <c r="F235">
        <v>1</v>
      </c>
      <c r="G235" t="s">
        <v>21</v>
      </c>
      <c r="H235" s="2">
        <v>46203.63789351852</v>
      </c>
      <c r="I235">
        <v>13</v>
      </c>
      <c r="J235" t="s">
        <v>120</v>
      </c>
      <c r="K235" s="8">
        <v>2</v>
      </c>
      <c r="L235">
        <v>8</v>
      </c>
      <c r="M235" t="s">
        <v>64</v>
      </c>
      <c r="N235">
        <v>49</v>
      </c>
      <c r="O235" t="s">
        <v>30</v>
      </c>
      <c r="P235" t="s">
        <v>57</v>
      </c>
      <c r="Q235" t="s">
        <v>117</v>
      </c>
      <c r="R235" s="7">
        <v>3</v>
      </c>
      <c r="S235" s="7">
        <v>6</v>
      </c>
      <c r="T235" t="s">
        <v>29</v>
      </c>
    </row>
    <row r="236" spans="1:20" x14ac:dyDescent="0.3">
      <c r="A236">
        <v>235</v>
      </c>
      <c r="B236" s="1">
        <v>44927</v>
      </c>
      <c r="C236">
        <v>2023</v>
      </c>
      <c r="D236">
        <v>1</v>
      </c>
      <c r="E236" t="s">
        <v>20</v>
      </c>
      <c r="F236">
        <v>1</v>
      </c>
      <c r="G236" t="s">
        <v>21</v>
      </c>
      <c r="H236" s="2">
        <v>46203.638298611113</v>
      </c>
      <c r="I236">
        <v>13</v>
      </c>
      <c r="J236" t="s">
        <v>120</v>
      </c>
      <c r="K236" s="8">
        <v>1</v>
      </c>
      <c r="L236">
        <v>8</v>
      </c>
      <c r="M236" t="s">
        <v>64</v>
      </c>
      <c r="N236">
        <v>55</v>
      </c>
      <c r="O236" t="s">
        <v>30</v>
      </c>
      <c r="P236" t="s">
        <v>31</v>
      </c>
      <c r="Q236" t="s">
        <v>88</v>
      </c>
      <c r="R236" s="7">
        <v>4</v>
      </c>
      <c r="S236" s="7">
        <v>4</v>
      </c>
      <c r="T236" t="s">
        <v>29</v>
      </c>
    </row>
    <row r="237" spans="1:20" x14ac:dyDescent="0.3">
      <c r="A237">
        <v>236</v>
      </c>
      <c r="B237" s="1">
        <v>44927</v>
      </c>
      <c r="C237">
        <v>2023</v>
      </c>
      <c r="D237">
        <v>1</v>
      </c>
      <c r="E237" t="s">
        <v>20</v>
      </c>
      <c r="F237">
        <v>1</v>
      </c>
      <c r="G237" t="s">
        <v>21</v>
      </c>
      <c r="H237" s="2">
        <v>46203.638298611113</v>
      </c>
      <c r="I237">
        <v>13</v>
      </c>
      <c r="J237" t="s">
        <v>120</v>
      </c>
      <c r="K237" s="8">
        <v>1</v>
      </c>
      <c r="L237">
        <v>8</v>
      </c>
      <c r="M237" t="s">
        <v>64</v>
      </c>
      <c r="N237">
        <v>75</v>
      </c>
      <c r="O237" t="s">
        <v>43</v>
      </c>
      <c r="P237" t="s">
        <v>78</v>
      </c>
      <c r="Q237" t="s">
        <v>115</v>
      </c>
      <c r="R237" s="7">
        <v>3.5</v>
      </c>
      <c r="S237" s="7">
        <v>3.5</v>
      </c>
      <c r="T237" t="s">
        <v>29</v>
      </c>
    </row>
    <row r="238" spans="1:20" x14ac:dyDescent="0.3">
      <c r="A238">
        <v>237</v>
      </c>
      <c r="B238" s="1">
        <v>44927</v>
      </c>
      <c r="C238">
        <v>2023</v>
      </c>
      <c r="D238">
        <v>1</v>
      </c>
      <c r="E238" t="s">
        <v>20</v>
      </c>
      <c r="F238">
        <v>1</v>
      </c>
      <c r="G238" t="s">
        <v>21</v>
      </c>
      <c r="H238" s="2">
        <v>46203.638611111113</v>
      </c>
      <c r="I238">
        <v>13</v>
      </c>
      <c r="J238" t="s">
        <v>120</v>
      </c>
      <c r="K238" s="8">
        <v>1</v>
      </c>
      <c r="L238">
        <v>3</v>
      </c>
      <c r="M238" t="s">
        <v>114</v>
      </c>
      <c r="N238">
        <v>23</v>
      </c>
      <c r="O238" t="s">
        <v>24</v>
      </c>
      <c r="P238" t="s">
        <v>40</v>
      </c>
      <c r="Q238" t="s">
        <v>94</v>
      </c>
      <c r="R238" s="7">
        <v>2.5</v>
      </c>
      <c r="S238" s="7">
        <v>2.5</v>
      </c>
      <c r="T238" t="s">
        <v>29</v>
      </c>
    </row>
    <row r="239" spans="1:20" x14ac:dyDescent="0.3">
      <c r="A239">
        <v>238</v>
      </c>
      <c r="B239" s="1">
        <v>44927</v>
      </c>
      <c r="C239">
        <v>2023</v>
      </c>
      <c r="D239">
        <v>1</v>
      </c>
      <c r="E239" t="s">
        <v>20</v>
      </c>
      <c r="F239">
        <v>1</v>
      </c>
      <c r="G239" t="s">
        <v>21</v>
      </c>
      <c r="H239" s="2">
        <v>46203.638842592591</v>
      </c>
      <c r="I239">
        <v>13</v>
      </c>
      <c r="J239" t="s">
        <v>120</v>
      </c>
      <c r="K239" s="8">
        <v>2</v>
      </c>
      <c r="L239">
        <v>8</v>
      </c>
      <c r="M239" t="s">
        <v>64</v>
      </c>
      <c r="N239">
        <v>31</v>
      </c>
      <c r="O239" t="s">
        <v>24</v>
      </c>
      <c r="P239" t="s">
        <v>25</v>
      </c>
      <c r="Q239" t="s">
        <v>116</v>
      </c>
      <c r="R239" s="7">
        <v>2.2000000000000002</v>
      </c>
      <c r="S239" s="7">
        <v>4.4000000000000004</v>
      </c>
      <c r="T239" t="s">
        <v>29</v>
      </c>
    </row>
    <row r="240" spans="1:20" x14ac:dyDescent="0.3">
      <c r="A240">
        <v>239</v>
      </c>
      <c r="B240" s="1">
        <v>44927</v>
      </c>
      <c r="C240">
        <v>2023</v>
      </c>
      <c r="D240">
        <v>1</v>
      </c>
      <c r="E240" t="s">
        <v>20</v>
      </c>
      <c r="F240">
        <v>1</v>
      </c>
      <c r="G240" t="s">
        <v>21</v>
      </c>
      <c r="H240" s="2">
        <v>46203.639479166668</v>
      </c>
      <c r="I240">
        <v>13</v>
      </c>
      <c r="J240" t="s">
        <v>120</v>
      </c>
      <c r="K240" s="8">
        <v>2</v>
      </c>
      <c r="L240">
        <v>3</v>
      </c>
      <c r="M240" t="s">
        <v>114</v>
      </c>
      <c r="N240">
        <v>35</v>
      </c>
      <c r="O240" t="s">
        <v>24</v>
      </c>
      <c r="P240" t="s">
        <v>99</v>
      </c>
      <c r="Q240" t="s">
        <v>110</v>
      </c>
      <c r="R240" s="7">
        <v>3.1</v>
      </c>
      <c r="S240" s="7">
        <v>6.2</v>
      </c>
      <c r="T240" t="s">
        <v>29</v>
      </c>
    </row>
    <row r="241" spans="1:20" x14ac:dyDescent="0.3">
      <c r="A241">
        <v>240</v>
      </c>
      <c r="B241" s="1">
        <v>44927</v>
      </c>
      <c r="C241">
        <v>2023</v>
      </c>
      <c r="D241">
        <v>1</v>
      </c>
      <c r="E241" t="s">
        <v>20</v>
      </c>
      <c r="F241">
        <v>1</v>
      </c>
      <c r="G241" t="s">
        <v>21</v>
      </c>
      <c r="H241" s="2">
        <v>46203.639849537038</v>
      </c>
      <c r="I241">
        <v>13</v>
      </c>
      <c r="J241" t="s">
        <v>120</v>
      </c>
      <c r="K241" s="8">
        <v>2</v>
      </c>
      <c r="L241">
        <v>3</v>
      </c>
      <c r="M241" t="s">
        <v>114</v>
      </c>
      <c r="N241">
        <v>38</v>
      </c>
      <c r="O241" t="s">
        <v>24</v>
      </c>
      <c r="P241" t="s">
        <v>48</v>
      </c>
      <c r="Q241" t="s">
        <v>81</v>
      </c>
      <c r="R241" s="7">
        <v>3.75</v>
      </c>
      <c r="S241" s="7">
        <v>7.5</v>
      </c>
      <c r="T241" t="s">
        <v>29</v>
      </c>
    </row>
    <row r="242" spans="1:20" x14ac:dyDescent="0.3">
      <c r="A242">
        <v>241</v>
      </c>
      <c r="B242" s="1">
        <v>44927</v>
      </c>
      <c r="C242">
        <v>2023</v>
      </c>
      <c r="D242">
        <v>1</v>
      </c>
      <c r="E242" t="s">
        <v>20</v>
      </c>
      <c r="F242">
        <v>1</v>
      </c>
      <c r="G242" t="s">
        <v>21</v>
      </c>
      <c r="H242" s="2">
        <v>46203.640405092592</v>
      </c>
      <c r="I242">
        <v>13</v>
      </c>
      <c r="J242" t="s">
        <v>120</v>
      </c>
      <c r="K242" s="8">
        <v>1</v>
      </c>
      <c r="L242">
        <v>5</v>
      </c>
      <c r="M242" t="s">
        <v>23</v>
      </c>
      <c r="N242">
        <v>23</v>
      </c>
      <c r="O242" t="s">
        <v>24</v>
      </c>
      <c r="P242" t="s">
        <v>40</v>
      </c>
      <c r="Q242" t="s">
        <v>94</v>
      </c>
      <c r="R242" s="7">
        <v>2.5</v>
      </c>
      <c r="S242" s="7">
        <v>2.5</v>
      </c>
      <c r="T242" t="s">
        <v>29</v>
      </c>
    </row>
    <row r="243" spans="1:20" x14ac:dyDescent="0.3">
      <c r="A243">
        <v>242</v>
      </c>
      <c r="B243" s="1">
        <v>44927</v>
      </c>
      <c r="C243">
        <v>2023</v>
      </c>
      <c r="D243">
        <v>1</v>
      </c>
      <c r="E243" t="s">
        <v>20</v>
      </c>
      <c r="F243">
        <v>1</v>
      </c>
      <c r="G243" t="s">
        <v>21</v>
      </c>
      <c r="H243" s="2">
        <v>46203.640798611108</v>
      </c>
      <c r="I243">
        <v>13</v>
      </c>
      <c r="J243" t="s">
        <v>120</v>
      </c>
      <c r="K243" s="8">
        <v>2</v>
      </c>
      <c r="L243">
        <v>3</v>
      </c>
      <c r="M243" t="s">
        <v>114</v>
      </c>
      <c r="N243">
        <v>46</v>
      </c>
      <c r="O243" t="s">
        <v>30</v>
      </c>
      <c r="P243" t="s">
        <v>60</v>
      </c>
      <c r="Q243" t="s">
        <v>95</v>
      </c>
      <c r="R243" s="7">
        <v>2.5</v>
      </c>
      <c r="S243" s="7">
        <v>5</v>
      </c>
      <c r="T243" t="s">
        <v>29</v>
      </c>
    </row>
    <row r="244" spans="1:20" x14ac:dyDescent="0.3">
      <c r="A244">
        <v>243</v>
      </c>
      <c r="B244" s="1">
        <v>44927</v>
      </c>
      <c r="C244">
        <v>2023</v>
      </c>
      <c r="D244">
        <v>1</v>
      </c>
      <c r="E244" t="s">
        <v>20</v>
      </c>
      <c r="F244">
        <v>1</v>
      </c>
      <c r="G244" t="s">
        <v>21</v>
      </c>
      <c r="H244" s="2">
        <v>46203.641597222224</v>
      </c>
      <c r="I244">
        <v>13</v>
      </c>
      <c r="J244" t="s">
        <v>120</v>
      </c>
      <c r="K244" s="8">
        <v>2</v>
      </c>
      <c r="L244">
        <v>3</v>
      </c>
      <c r="M244" t="s">
        <v>114</v>
      </c>
      <c r="N244">
        <v>58</v>
      </c>
      <c r="O244" t="s">
        <v>35</v>
      </c>
      <c r="P244" t="s">
        <v>36</v>
      </c>
      <c r="Q244" t="s">
        <v>51</v>
      </c>
      <c r="R244" s="7">
        <v>3.5</v>
      </c>
      <c r="S244" s="7">
        <v>7</v>
      </c>
      <c r="T244" t="s">
        <v>29</v>
      </c>
    </row>
    <row r="245" spans="1:20" x14ac:dyDescent="0.3">
      <c r="A245">
        <v>244</v>
      </c>
      <c r="B245" s="1">
        <v>44927</v>
      </c>
      <c r="C245">
        <v>2023</v>
      </c>
      <c r="D245">
        <v>1</v>
      </c>
      <c r="E245" t="s">
        <v>20</v>
      </c>
      <c r="F245">
        <v>1</v>
      </c>
      <c r="G245" t="s">
        <v>21</v>
      </c>
      <c r="H245" s="2">
        <v>46203.642002314817</v>
      </c>
      <c r="I245">
        <v>13</v>
      </c>
      <c r="J245" t="s">
        <v>120</v>
      </c>
      <c r="K245" s="8">
        <v>2</v>
      </c>
      <c r="L245">
        <v>5</v>
      </c>
      <c r="M245" t="s">
        <v>23</v>
      </c>
      <c r="N245">
        <v>60</v>
      </c>
      <c r="O245" t="s">
        <v>35</v>
      </c>
      <c r="P245" t="s">
        <v>36</v>
      </c>
      <c r="Q245" t="s">
        <v>90</v>
      </c>
      <c r="R245" s="7">
        <v>3.75</v>
      </c>
      <c r="S245" s="7">
        <v>7.5</v>
      </c>
      <c r="T245" t="s">
        <v>29</v>
      </c>
    </row>
    <row r="246" spans="1:20" x14ac:dyDescent="0.3">
      <c r="A246">
        <v>245</v>
      </c>
      <c r="B246" s="1">
        <v>44927</v>
      </c>
      <c r="C246">
        <v>2023</v>
      </c>
      <c r="D246">
        <v>1</v>
      </c>
      <c r="E246" t="s">
        <v>20</v>
      </c>
      <c r="F246">
        <v>1</v>
      </c>
      <c r="G246" t="s">
        <v>21</v>
      </c>
      <c r="H246" s="2">
        <v>46203.64640046296</v>
      </c>
      <c r="I246">
        <v>13</v>
      </c>
      <c r="J246" t="s">
        <v>120</v>
      </c>
      <c r="K246" s="8">
        <v>2</v>
      </c>
      <c r="L246">
        <v>5</v>
      </c>
      <c r="M246" t="s">
        <v>23</v>
      </c>
      <c r="N246">
        <v>31</v>
      </c>
      <c r="O246" t="s">
        <v>24</v>
      </c>
      <c r="P246" t="s">
        <v>25</v>
      </c>
      <c r="Q246" t="s">
        <v>116</v>
      </c>
      <c r="R246" s="7">
        <v>2.2000000000000002</v>
      </c>
      <c r="S246" s="7">
        <v>4.4000000000000004</v>
      </c>
      <c r="T246" t="s">
        <v>29</v>
      </c>
    </row>
    <row r="247" spans="1:20" x14ac:dyDescent="0.3">
      <c r="A247">
        <v>246</v>
      </c>
      <c r="B247" s="1">
        <v>44927</v>
      </c>
      <c r="C247">
        <v>2023</v>
      </c>
      <c r="D247">
        <v>1</v>
      </c>
      <c r="E247" t="s">
        <v>20</v>
      </c>
      <c r="F247">
        <v>1</v>
      </c>
      <c r="G247" t="s">
        <v>21</v>
      </c>
      <c r="H247" s="2">
        <v>46203.647303240738</v>
      </c>
      <c r="I247">
        <v>13</v>
      </c>
      <c r="J247" t="s">
        <v>120</v>
      </c>
      <c r="K247" s="8">
        <v>2</v>
      </c>
      <c r="L247">
        <v>5</v>
      </c>
      <c r="M247" t="s">
        <v>23</v>
      </c>
      <c r="N247">
        <v>25</v>
      </c>
      <c r="O247" t="s">
        <v>24</v>
      </c>
      <c r="P247" t="s">
        <v>82</v>
      </c>
      <c r="Q247" t="s">
        <v>96</v>
      </c>
      <c r="R247" s="7">
        <v>2.2000000000000002</v>
      </c>
      <c r="S247" s="7">
        <v>4.4000000000000004</v>
      </c>
      <c r="T247" t="s">
        <v>29</v>
      </c>
    </row>
    <row r="248" spans="1:20" x14ac:dyDescent="0.3">
      <c r="A248">
        <v>247</v>
      </c>
      <c r="B248" s="1">
        <v>44927</v>
      </c>
      <c r="C248">
        <v>2023</v>
      </c>
      <c r="D248">
        <v>1</v>
      </c>
      <c r="E248" t="s">
        <v>20</v>
      </c>
      <c r="F248">
        <v>1</v>
      </c>
      <c r="G248" t="s">
        <v>21</v>
      </c>
      <c r="H248" s="2">
        <v>46203.647615740738</v>
      </c>
      <c r="I248">
        <v>13</v>
      </c>
      <c r="J248" t="s">
        <v>120</v>
      </c>
      <c r="K248" s="8">
        <v>1</v>
      </c>
      <c r="L248">
        <v>5</v>
      </c>
      <c r="M248" t="s">
        <v>23</v>
      </c>
      <c r="N248">
        <v>87</v>
      </c>
      <c r="O248" t="s">
        <v>24</v>
      </c>
      <c r="P248" t="s">
        <v>48</v>
      </c>
      <c r="Q248" t="s">
        <v>59</v>
      </c>
      <c r="R248" s="7">
        <v>3</v>
      </c>
      <c r="S248" s="7">
        <v>3</v>
      </c>
      <c r="T248" t="s">
        <v>29</v>
      </c>
    </row>
    <row r="249" spans="1:20" x14ac:dyDescent="0.3">
      <c r="A249">
        <v>248</v>
      </c>
      <c r="B249" s="1">
        <v>44927</v>
      </c>
      <c r="C249">
        <v>2023</v>
      </c>
      <c r="D249">
        <v>1</v>
      </c>
      <c r="E249" t="s">
        <v>20</v>
      </c>
      <c r="F249">
        <v>1</v>
      </c>
      <c r="G249" t="s">
        <v>21</v>
      </c>
      <c r="H249" s="2">
        <v>46203.64875</v>
      </c>
      <c r="I249">
        <v>13</v>
      </c>
      <c r="J249" t="s">
        <v>120</v>
      </c>
      <c r="K249" s="8">
        <v>2</v>
      </c>
      <c r="L249">
        <v>3</v>
      </c>
      <c r="M249" t="s">
        <v>114</v>
      </c>
      <c r="N249">
        <v>28</v>
      </c>
      <c r="O249" t="s">
        <v>24</v>
      </c>
      <c r="P249" t="s">
        <v>25</v>
      </c>
      <c r="Q249" t="s">
        <v>46</v>
      </c>
      <c r="R249" s="7">
        <v>2</v>
      </c>
      <c r="S249" s="7">
        <v>4</v>
      </c>
      <c r="T249" t="s">
        <v>29</v>
      </c>
    </row>
    <row r="250" spans="1:20" x14ac:dyDescent="0.3">
      <c r="A250">
        <v>249</v>
      </c>
      <c r="B250" s="1">
        <v>44927</v>
      </c>
      <c r="C250">
        <v>2023</v>
      </c>
      <c r="D250">
        <v>1</v>
      </c>
      <c r="E250" t="s">
        <v>20</v>
      </c>
      <c r="F250">
        <v>1</v>
      </c>
      <c r="G250" t="s">
        <v>21</v>
      </c>
      <c r="H250" s="2">
        <v>46203.651493055557</v>
      </c>
      <c r="I250">
        <v>13</v>
      </c>
      <c r="J250" t="s">
        <v>120</v>
      </c>
      <c r="K250" s="8">
        <v>1</v>
      </c>
      <c r="L250">
        <v>8</v>
      </c>
      <c r="M250" t="s">
        <v>64</v>
      </c>
      <c r="N250">
        <v>27</v>
      </c>
      <c r="O250" t="s">
        <v>24</v>
      </c>
      <c r="P250" t="s">
        <v>82</v>
      </c>
      <c r="Q250" t="s">
        <v>84</v>
      </c>
      <c r="R250" s="7">
        <v>3.5</v>
      </c>
      <c r="S250" s="7">
        <v>3.5</v>
      </c>
      <c r="T250" t="s">
        <v>29</v>
      </c>
    </row>
    <row r="251" spans="1:20" x14ac:dyDescent="0.3">
      <c r="A251">
        <v>250</v>
      </c>
      <c r="B251" s="1">
        <v>44927</v>
      </c>
      <c r="C251">
        <v>2023</v>
      </c>
      <c r="D251">
        <v>1</v>
      </c>
      <c r="E251" t="s">
        <v>20</v>
      </c>
      <c r="F251">
        <v>1</v>
      </c>
      <c r="G251" t="s">
        <v>21</v>
      </c>
      <c r="H251" s="2">
        <v>46203.651516203703</v>
      </c>
      <c r="I251">
        <v>13</v>
      </c>
      <c r="J251" t="s">
        <v>120</v>
      </c>
      <c r="K251" s="8">
        <v>2</v>
      </c>
      <c r="L251">
        <v>8</v>
      </c>
      <c r="M251" t="s">
        <v>64</v>
      </c>
      <c r="N251">
        <v>40</v>
      </c>
      <c r="O251" t="s">
        <v>24</v>
      </c>
      <c r="P251" t="s">
        <v>48</v>
      </c>
      <c r="Q251" t="s">
        <v>74</v>
      </c>
      <c r="R251" s="7">
        <v>3.75</v>
      </c>
      <c r="S251" s="7">
        <v>7.5</v>
      </c>
      <c r="T251" t="s">
        <v>29</v>
      </c>
    </row>
    <row r="252" spans="1:20" x14ac:dyDescent="0.3">
      <c r="A252">
        <v>251</v>
      </c>
      <c r="B252" s="1">
        <v>44927</v>
      </c>
      <c r="C252">
        <v>2023</v>
      </c>
      <c r="D252">
        <v>1</v>
      </c>
      <c r="E252" t="s">
        <v>20</v>
      </c>
      <c r="F252">
        <v>1</v>
      </c>
      <c r="G252" t="s">
        <v>21</v>
      </c>
      <c r="H252" s="2">
        <v>46203.652557870373</v>
      </c>
      <c r="I252">
        <v>13</v>
      </c>
      <c r="J252" t="s">
        <v>120</v>
      </c>
      <c r="K252" s="8">
        <v>1</v>
      </c>
      <c r="L252">
        <v>5</v>
      </c>
      <c r="M252" t="s">
        <v>23</v>
      </c>
      <c r="N252">
        <v>51</v>
      </c>
      <c r="O252" t="s">
        <v>30</v>
      </c>
      <c r="P252" t="s">
        <v>57</v>
      </c>
      <c r="Q252" t="s">
        <v>58</v>
      </c>
      <c r="R252" s="7">
        <v>3</v>
      </c>
      <c r="S252" s="7">
        <v>3</v>
      </c>
      <c r="T252" t="s">
        <v>29</v>
      </c>
    </row>
    <row r="253" spans="1:20" x14ac:dyDescent="0.3">
      <c r="A253">
        <v>252</v>
      </c>
      <c r="B253" s="1">
        <v>44927</v>
      </c>
      <c r="C253">
        <v>2023</v>
      </c>
      <c r="D253">
        <v>1</v>
      </c>
      <c r="E253" t="s">
        <v>20</v>
      </c>
      <c r="F253">
        <v>1</v>
      </c>
      <c r="G253" t="s">
        <v>21</v>
      </c>
      <c r="H253" s="2">
        <v>46203.653321759259</v>
      </c>
      <c r="I253">
        <v>13</v>
      </c>
      <c r="J253" t="s">
        <v>120</v>
      </c>
      <c r="K253" s="8">
        <v>2</v>
      </c>
      <c r="L253">
        <v>3</v>
      </c>
      <c r="M253" t="s">
        <v>114</v>
      </c>
      <c r="N253">
        <v>54</v>
      </c>
      <c r="O253" t="s">
        <v>30</v>
      </c>
      <c r="P253" t="s">
        <v>31</v>
      </c>
      <c r="Q253" t="s">
        <v>87</v>
      </c>
      <c r="R253" s="7">
        <v>2.5</v>
      </c>
      <c r="S253" s="7">
        <v>5</v>
      </c>
      <c r="T253" t="s">
        <v>29</v>
      </c>
    </row>
    <row r="254" spans="1:20" x14ac:dyDescent="0.3">
      <c r="A254">
        <v>253</v>
      </c>
      <c r="B254" s="1">
        <v>44927</v>
      </c>
      <c r="C254">
        <v>2023</v>
      </c>
      <c r="D254">
        <v>1</v>
      </c>
      <c r="E254" t="s">
        <v>20</v>
      </c>
      <c r="F254">
        <v>1</v>
      </c>
      <c r="G254" t="s">
        <v>21</v>
      </c>
      <c r="H254" s="2">
        <v>46203.65357638889</v>
      </c>
      <c r="I254">
        <v>13</v>
      </c>
      <c r="J254" t="s">
        <v>120</v>
      </c>
      <c r="K254" s="8">
        <v>2</v>
      </c>
      <c r="L254">
        <v>3</v>
      </c>
      <c r="M254" t="s">
        <v>114</v>
      </c>
      <c r="N254">
        <v>42</v>
      </c>
      <c r="O254" t="s">
        <v>30</v>
      </c>
      <c r="P254" t="s">
        <v>65</v>
      </c>
      <c r="Q254" t="s">
        <v>66</v>
      </c>
      <c r="R254" s="7">
        <v>2.5</v>
      </c>
      <c r="S254" s="7">
        <v>5</v>
      </c>
      <c r="T254" t="s">
        <v>29</v>
      </c>
    </row>
    <row r="255" spans="1:20" x14ac:dyDescent="0.3">
      <c r="A255">
        <v>254</v>
      </c>
      <c r="B255" s="1">
        <v>44927</v>
      </c>
      <c r="C255">
        <v>2023</v>
      </c>
      <c r="D255">
        <v>1</v>
      </c>
      <c r="E255" t="s">
        <v>20</v>
      </c>
      <c r="F255">
        <v>1</v>
      </c>
      <c r="G255" t="s">
        <v>21</v>
      </c>
      <c r="H255" s="2">
        <v>46203.654282407406</v>
      </c>
      <c r="I255">
        <v>13</v>
      </c>
      <c r="J255" t="s">
        <v>120</v>
      </c>
      <c r="K255" s="8">
        <v>1</v>
      </c>
      <c r="L255">
        <v>3</v>
      </c>
      <c r="M255" t="s">
        <v>114</v>
      </c>
      <c r="N255">
        <v>43</v>
      </c>
      <c r="O255" t="s">
        <v>30</v>
      </c>
      <c r="P255" t="s">
        <v>65</v>
      </c>
      <c r="Q255" t="s">
        <v>75</v>
      </c>
      <c r="R255" s="7">
        <v>3</v>
      </c>
      <c r="S255" s="7">
        <v>3</v>
      </c>
      <c r="T255" t="s">
        <v>29</v>
      </c>
    </row>
    <row r="256" spans="1:20" x14ac:dyDescent="0.3">
      <c r="A256">
        <v>255</v>
      </c>
      <c r="B256" s="1">
        <v>44927</v>
      </c>
      <c r="C256">
        <v>2023</v>
      </c>
      <c r="D256">
        <v>1</v>
      </c>
      <c r="E256" t="s">
        <v>20</v>
      </c>
      <c r="F256">
        <v>1</v>
      </c>
      <c r="G256" t="s">
        <v>21</v>
      </c>
      <c r="H256" s="2">
        <v>46203.654733796298</v>
      </c>
      <c r="I256">
        <v>13</v>
      </c>
      <c r="J256" t="s">
        <v>120</v>
      </c>
      <c r="K256" s="8">
        <v>1</v>
      </c>
      <c r="L256">
        <v>5</v>
      </c>
      <c r="M256" t="s">
        <v>23</v>
      </c>
      <c r="N256">
        <v>36</v>
      </c>
      <c r="O256" t="s">
        <v>24</v>
      </c>
      <c r="P256" t="s">
        <v>99</v>
      </c>
      <c r="Q256" t="s">
        <v>102</v>
      </c>
      <c r="R256" s="7">
        <v>3.75</v>
      </c>
      <c r="S256" s="7">
        <v>3.75</v>
      </c>
      <c r="T256" t="s">
        <v>29</v>
      </c>
    </row>
    <row r="257" spans="1:20" x14ac:dyDescent="0.3">
      <c r="A257">
        <v>256</v>
      </c>
      <c r="B257" s="1">
        <v>44927</v>
      </c>
      <c r="C257">
        <v>2023</v>
      </c>
      <c r="D257">
        <v>1</v>
      </c>
      <c r="E257" t="s">
        <v>20</v>
      </c>
      <c r="F257">
        <v>1</v>
      </c>
      <c r="G257" t="s">
        <v>21</v>
      </c>
      <c r="H257" s="2">
        <v>46203.65483796296</v>
      </c>
      <c r="I257">
        <v>13</v>
      </c>
      <c r="J257" t="s">
        <v>120</v>
      </c>
      <c r="K257" s="8">
        <v>1</v>
      </c>
      <c r="L257">
        <v>5</v>
      </c>
      <c r="M257" t="s">
        <v>23</v>
      </c>
      <c r="N257">
        <v>52</v>
      </c>
      <c r="O257" t="s">
        <v>30</v>
      </c>
      <c r="P257" t="s">
        <v>31</v>
      </c>
      <c r="Q257" t="s">
        <v>118</v>
      </c>
      <c r="R257" s="7">
        <v>2.5</v>
      </c>
      <c r="S257" s="7">
        <v>2.5</v>
      </c>
      <c r="T257" t="s">
        <v>29</v>
      </c>
    </row>
    <row r="258" spans="1:20" x14ac:dyDescent="0.3">
      <c r="A258">
        <v>257</v>
      </c>
      <c r="B258" s="1">
        <v>44927</v>
      </c>
      <c r="C258">
        <v>2023</v>
      </c>
      <c r="D258">
        <v>1</v>
      </c>
      <c r="E258" t="s">
        <v>20</v>
      </c>
      <c r="F258">
        <v>1</v>
      </c>
      <c r="G258" t="s">
        <v>21</v>
      </c>
      <c r="H258" s="2">
        <v>46203.65483796296</v>
      </c>
      <c r="I258">
        <v>13</v>
      </c>
      <c r="J258" t="s">
        <v>120</v>
      </c>
      <c r="K258" s="8">
        <v>1</v>
      </c>
      <c r="L258">
        <v>5</v>
      </c>
      <c r="M258" t="s">
        <v>23</v>
      </c>
      <c r="N258">
        <v>72</v>
      </c>
      <c r="O258" t="s">
        <v>43</v>
      </c>
      <c r="P258" t="s">
        <v>44</v>
      </c>
      <c r="Q258" t="s">
        <v>109</v>
      </c>
      <c r="R258" s="7">
        <v>3.25</v>
      </c>
      <c r="S258" s="7">
        <v>3.25</v>
      </c>
      <c r="T258" t="s">
        <v>29</v>
      </c>
    </row>
    <row r="259" spans="1:20" x14ac:dyDescent="0.3">
      <c r="A259">
        <v>258</v>
      </c>
      <c r="B259" s="1">
        <v>44927</v>
      </c>
      <c r="C259">
        <v>2023</v>
      </c>
      <c r="D259">
        <v>1</v>
      </c>
      <c r="E259" t="s">
        <v>20</v>
      </c>
      <c r="F259">
        <v>1</v>
      </c>
      <c r="G259" t="s">
        <v>21</v>
      </c>
      <c r="H259" s="2">
        <v>46203.655069444445</v>
      </c>
      <c r="I259">
        <v>13</v>
      </c>
      <c r="J259" t="s">
        <v>120</v>
      </c>
      <c r="K259" s="8">
        <v>2</v>
      </c>
      <c r="L259">
        <v>3</v>
      </c>
      <c r="M259" t="s">
        <v>114</v>
      </c>
      <c r="N259">
        <v>54</v>
      </c>
      <c r="O259" t="s">
        <v>30</v>
      </c>
      <c r="P259" t="s">
        <v>31</v>
      </c>
      <c r="Q259" t="s">
        <v>87</v>
      </c>
      <c r="R259" s="7">
        <v>2.5</v>
      </c>
      <c r="S259" s="7">
        <v>5</v>
      </c>
      <c r="T259" t="s">
        <v>29</v>
      </c>
    </row>
    <row r="260" spans="1:20" x14ac:dyDescent="0.3">
      <c r="A260">
        <v>259</v>
      </c>
      <c r="B260" s="1">
        <v>44927</v>
      </c>
      <c r="C260">
        <v>2023</v>
      </c>
      <c r="D260">
        <v>1</v>
      </c>
      <c r="E260" t="s">
        <v>20</v>
      </c>
      <c r="F260">
        <v>1</v>
      </c>
      <c r="G260" t="s">
        <v>21</v>
      </c>
      <c r="H260" s="2">
        <v>46203.655069444445</v>
      </c>
      <c r="I260">
        <v>13</v>
      </c>
      <c r="J260" t="s">
        <v>120</v>
      </c>
      <c r="K260" s="8">
        <v>1</v>
      </c>
      <c r="L260">
        <v>3</v>
      </c>
      <c r="M260" t="s">
        <v>114</v>
      </c>
      <c r="N260">
        <v>69</v>
      </c>
      <c r="O260" t="s">
        <v>43</v>
      </c>
      <c r="P260" t="s">
        <v>71</v>
      </c>
      <c r="Q260" t="s">
        <v>72</v>
      </c>
      <c r="R260" s="7">
        <v>3.25</v>
      </c>
      <c r="S260" s="7">
        <v>3.25</v>
      </c>
      <c r="T260" t="s">
        <v>29</v>
      </c>
    </row>
    <row r="261" spans="1:20" x14ac:dyDescent="0.3">
      <c r="A261">
        <v>260</v>
      </c>
      <c r="B261" s="1">
        <v>44927</v>
      </c>
      <c r="C261">
        <v>2023</v>
      </c>
      <c r="D261">
        <v>1</v>
      </c>
      <c r="E261" t="s">
        <v>20</v>
      </c>
      <c r="F261">
        <v>1</v>
      </c>
      <c r="G261" t="s">
        <v>21</v>
      </c>
      <c r="H261" s="2">
        <v>46203.655335648145</v>
      </c>
      <c r="I261">
        <v>13</v>
      </c>
      <c r="J261" t="s">
        <v>120</v>
      </c>
      <c r="K261" s="8">
        <v>2</v>
      </c>
      <c r="L261">
        <v>5</v>
      </c>
      <c r="M261" t="s">
        <v>23</v>
      </c>
      <c r="N261">
        <v>25</v>
      </c>
      <c r="O261" t="s">
        <v>24</v>
      </c>
      <c r="P261" t="s">
        <v>82</v>
      </c>
      <c r="Q261" t="s">
        <v>96</v>
      </c>
      <c r="R261" s="7">
        <v>2.2000000000000002</v>
      </c>
      <c r="S261" s="7">
        <v>4.4000000000000004</v>
      </c>
      <c r="T261" t="s">
        <v>29</v>
      </c>
    </row>
    <row r="262" spans="1:20" x14ac:dyDescent="0.3">
      <c r="A262">
        <v>261</v>
      </c>
      <c r="B262" s="1">
        <v>44927</v>
      </c>
      <c r="C262">
        <v>2023</v>
      </c>
      <c r="D262">
        <v>1</v>
      </c>
      <c r="E262" t="s">
        <v>20</v>
      </c>
      <c r="F262">
        <v>1</v>
      </c>
      <c r="G262" t="s">
        <v>21</v>
      </c>
      <c r="H262" s="2">
        <v>46203.655856481484</v>
      </c>
      <c r="I262">
        <v>13</v>
      </c>
      <c r="J262" t="s">
        <v>120</v>
      </c>
      <c r="K262" s="8">
        <v>1</v>
      </c>
      <c r="L262">
        <v>3</v>
      </c>
      <c r="M262" t="s">
        <v>114</v>
      </c>
      <c r="N262">
        <v>57</v>
      </c>
      <c r="O262" t="s">
        <v>30</v>
      </c>
      <c r="P262" t="s">
        <v>31</v>
      </c>
      <c r="Q262" t="s">
        <v>32</v>
      </c>
      <c r="R262" s="7">
        <v>3.1</v>
      </c>
      <c r="S262" s="7">
        <v>3.1</v>
      </c>
      <c r="T262" t="s">
        <v>29</v>
      </c>
    </row>
    <row r="263" spans="1:20" x14ac:dyDescent="0.3">
      <c r="A263">
        <v>262</v>
      </c>
      <c r="B263" s="1">
        <v>44927</v>
      </c>
      <c r="C263">
        <v>2023</v>
      </c>
      <c r="D263">
        <v>1</v>
      </c>
      <c r="E263" t="s">
        <v>20</v>
      </c>
      <c r="F263">
        <v>1</v>
      </c>
      <c r="G263" t="s">
        <v>21</v>
      </c>
      <c r="H263" s="2">
        <v>46203.658229166664</v>
      </c>
      <c r="I263">
        <v>13</v>
      </c>
      <c r="J263" t="s">
        <v>120</v>
      </c>
      <c r="K263" s="8">
        <v>1</v>
      </c>
      <c r="L263">
        <v>8</v>
      </c>
      <c r="M263" t="s">
        <v>64</v>
      </c>
      <c r="N263">
        <v>40</v>
      </c>
      <c r="O263" t="s">
        <v>24</v>
      </c>
      <c r="P263" t="s">
        <v>48</v>
      </c>
      <c r="Q263" t="s">
        <v>74</v>
      </c>
      <c r="R263" s="7">
        <v>3.75</v>
      </c>
      <c r="S263" s="7">
        <v>3.75</v>
      </c>
      <c r="T263" t="s">
        <v>29</v>
      </c>
    </row>
    <row r="264" spans="1:20" x14ac:dyDescent="0.3">
      <c r="A264">
        <v>263</v>
      </c>
      <c r="B264" s="1">
        <v>44927</v>
      </c>
      <c r="C264">
        <v>2023</v>
      </c>
      <c r="D264">
        <v>1</v>
      </c>
      <c r="E264" t="s">
        <v>20</v>
      </c>
      <c r="F264">
        <v>1</v>
      </c>
      <c r="G264" t="s">
        <v>21</v>
      </c>
      <c r="H264" s="2">
        <v>46203.659062500003</v>
      </c>
      <c r="I264">
        <v>13</v>
      </c>
      <c r="J264" t="s">
        <v>120</v>
      </c>
      <c r="K264" s="8">
        <v>2</v>
      </c>
      <c r="L264">
        <v>8</v>
      </c>
      <c r="M264" t="s">
        <v>64</v>
      </c>
      <c r="N264">
        <v>22</v>
      </c>
      <c r="O264" t="s">
        <v>24</v>
      </c>
      <c r="P264" t="s">
        <v>40</v>
      </c>
      <c r="Q264" t="s">
        <v>41</v>
      </c>
      <c r="R264" s="7">
        <v>2</v>
      </c>
      <c r="S264" s="7">
        <v>4</v>
      </c>
      <c r="T264" t="s">
        <v>29</v>
      </c>
    </row>
    <row r="265" spans="1:20" x14ac:dyDescent="0.3">
      <c r="A265">
        <v>264</v>
      </c>
      <c r="B265" s="1">
        <v>44927</v>
      </c>
      <c r="C265">
        <v>2023</v>
      </c>
      <c r="D265">
        <v>1</v>
      </c>
      <c r="E265" t="s">
        <v>20</v>
      </c>
      <c r="F265">
        <v>1</v>
      </c>
      <c r="G265" t="s">
        <v>21</v>
      </c>
      <c r="H265" s="2">
        <v>46203.659826388888</v>
      </c>
      <c r="I265">
        <v>13</v>
      </c>
      <c r="J265" t="s">
        <v>120</v>
      </c>
      <c r="K265" s="8">
        <v>1</v>
      </c>
      <c r="L265">
        <v>5</v>
      </c>
      <c r="M265" t="s">
        <v>23</v>
      </c>
      <c r="N265">
        <v>53</v>
      </c>
      <c r="O265" t="s">
        <v>30</v>
      </c>
      <c r="P265" t="s">
        <v>31</v>
      </c>
      <c r="Q265" t="s">
        <v>104</v>
      </c>
      <c r="R265" s="7">
        <v>3</v>
      </c>
      <c r="S265" s="7">
        <v>3</v>
      </c>
      <c r="T265" t="s">
        <v>29</v>
      </c>
    </row>
    <row r="266" spans="1:20" x14ac:dyDescent="0.3">
      <c r="A266">
        <v>265</v>
      </c>
      <c r="B266" s="1">
        <v>44927</v>
      </c>
      <c r="C266">
        <v>2023</v>
      </c>
      <c r="D266">
        <v>1</v>
      </c>
      <c r="E266" t="s">
        <v>20</v>
      </c>
      <c r="F266">
        <v>1</v>
      </c>
      <c r="G266" t="s">
        <v>21</v>
      </c>
      <c r="H266" s="2">
        <v>46203.660266203704</v>
      </c>
      <c r="I266">
        <v>13</v>
      </c>
      <c r="J266" t="s">
        <v>120</v>
      </c>
      <c r="K266" s="8">
        <v>2</v>
      </c>
      <c r="L266">
        <v>8</v>
      </c>
      <c r="M266" t="s">
        <v>64</v>
      </c>
      <c r="N266">
        <v>54</v>
      </c>
      <c r="O266" t="s">
        <v>30</v>
      </c>
      <c r="P266" t="s">
        <v>31</v>
      </c>
      <c r="Q266" t="s">
        <v>87</v>
      </c>
      <c r="R266" s="7">
        <v>2.5</v>
      </c>
      <c r="S266" s="7">
        <v>5</v>
      </c>
      <c r="T266" t="s">
        <v>29</v>
      </c>
    </row>
    <row r="267" spans="1:20" x14ac:dyDescent="0.3">
      <c r="A267">
        <v>266</v>
      </c>
      <c r="B267" s="1">
        <v>44927</v>
      </c>
      <c r="C267">
        <v>2023</v>
      </c>
      <c r="D267">
        <v>1</v>
      </c>
      <c r="E267" t="s">
        <v>20</v>
      </c>
      <c r="F267">
        <v>1</v>
      </c>
      <c r="G267" t="s">
        <v>21</v>
      </c>
      <c r="H267" s="2">
        <v>46203.661064814813</v>
      </c>
      <c r="I267">
        <v>13</v>
      </c>
      <c r="J267" t="s">
        <v>120</v>
      </c>
      <c r="K267" s="8">
        <v>2</v>
      </c>
      <c r="L267">
        <v>8</v>
      </c>
      <c r="M267" t="s">
        <v>64</v>
      </c>
      <c r="N267">
        <v>32</v>
      </c>
      <c r="O267" t="s">
        <v>24</v>
      </c>
      <c r="P267" t="s">
        <v>25</v>
      </c>
      <c r="Q267" t="s">
        <v>26</v>
      </c>
      <c r="R267" s="7">
        <v>3</v>
      </c>
      <c r="S267" s="7">
        <v>6</v>
      </c>
      <c r="T267" t="s">
        <v>29</v>
      </c>
    </row>
    <row r="268" spans="1:20" x14ac:dyDescent="0.3">
      <c r="A268">
        <v>267</v>
      </c>
      <c r="B268" s="1">
        <v>44927</v>
      </c>
      <c r="C268">
        <v>2023</v>
      </c>
      <c r="D268">
        <v>1</v>
      </c>
      <c r="E268" t="s">
        <v>20</v>
      </c>
      <c r="F268">
        <v>1</v>
      </c>
      <c r="G268" t="s">
        <v>21</v>
      </c>
      <c r="H268" s="2">
        <v>46203.661851851852</v>
      </c>
      <c r="I268">
        <v>13</v>
      </c>
      <c r="J268" t="s">
        <v>120</v>
      </c>
      <c r="K268" s="8">
        <v>2</v>
      </c>
      <c r="L268">
        <v>3</v>
      </c>
      <c r="M268" t="s">
        <v>114</v>
      </c>
      <c r="N268">
        <v>38</v>
      </c>
      <c r="O268" t="s">
        <v>24</v>
      </c>
      <c r="P268" t="s">
        <v>48</v>
      </c>
      <c r="Q268" t="s">
        <v>81</v>
      </c>
      <c r="R268" s="7">
        <v>3.75</v>
      </c>
      <c r="S268" s="7">
        <v>7.5</v>
      </c>
      <c r="T268" t="s">
        <v>29</v>
      </c>
    </row>
    <row r="269" spans="1:20" x14ac:dyDescent="0.3">
      <c r="A269">
        <v>268</v>
      </c>
      <c r="B269" s="1">
        <v>44927</v>
      </c>
      <c r="C269">
        <v>2023</v>
      </c>
      <c r="D269">
        <v>1</v>
      </c>
      <c r="E269" t="s">
        <v>20</v>
      </c>
      <c r="F269">
        <v>1</v>
      </c>
      <c r="G269" t="s">
        <v>21</v>
      </c>
      <c r="H269" s="2">
        <v>46203.662164351852</v>
      </c>
      <c r="I269">
        <v>13</v>
      </c>
      <c r="J269" t="s">
        <v>120</v>
      </c>
      <c r="K269" s="8">
        <v>1</v>
      </c>
      <c r="L269">
        <v>8</v>
      </c>
      <c r="M269" t="s">
        <v>64</v>
      </c>
      <c r="N269">
        <v>33</v>
      </c>
      <c r="O269" t="s">
        <v>24</v>
      </c>
      <c r="P269" t="s">
        <v>25</v>
      </c>
      <c r="Q269" t="s">
        <v>56</v>
      </c>
      <c r="R269" s="7">
        <v>3.5</v>
      </c>
      <c r="S269" s="7">
        <v>3.5</v>
      </c>
      <c r="T269" t="s">
        <v>29</v>
      </c>
    </row>
    <row r="270" spans="1:20" x14ac:dyDescent="0.3">
      <c r="A270">
        <v>269</v>
      </c>
      <c r="B270" s="1">
        <v>44927</v>
      </c>
      <c r="C270">
        <v>2023</v>
      </c>
      <c r="D270">
        <v>1</v>
      </c>
      <c r="E270" t="s">
        <v>20</v>
      </c>
      <c r="F270">
        <v>1</v>
      </c>
      <c r="G270" t="s">
        <v>21</v>
      </c>
      <c r="H270" s="2">
        <v>46203.662708333337</v>
      </c>
      <c r="I270">
        <v>13</v>
      </c>
      <c r="J270" t="s">
        <v>120</v>
      </c>
      <c r="K270" s="8">
        <v>2</v>
      </c>
      <c r="L270">
        <v>8</v>
      </c>
      <c r="M270" t="s">
        <v>64</v>
      </c>
      <c r="N270">
        <v>22</v>
      </c>
      <c r="O270" t="s">
        <v>24</v>
      </c>
      <c r="P270" t="s">
        <v>40</v>
      </c>
      <c r="Q270" t="s">
        <v>41</v>
      </c>
      <c r="R270" s="7">
        <v>2</v>
      </c>
      <c r="S270" s="7">
        <v>4</v>
      </c>
      <c r="T270" t="s">
        <v>29</v>
      </c>
    </row>
    <row r="271" spans="1:20" x14ac:dyDescent="0.3">
      <c r="A271">
        <v>270</v>
      </c>
      <c r="B271" s="1">
        <v>44927</v>
      </c>
      <c r="C271">
        <v>2023</v>
      </c>
      <c r="D271">
        <v>1</v>
      </c>
      <c r="E271" t="s">
        <v>20</v>
      </c>
      <c r="F271">
        <v>1</v>
      </c>
      <c r="G271" t="s">
        <v>21</v>
      </c>
      <c r="H271" s="2">
        <v>46203.663240740738</v>
      </c>
      <c r="I271">
        <v>13</v>
      </c>
      <c r="J271" t="s">
        <v>120</v>
      </c>
      <c r="K271" s="8">
        <v>1</v>
      </c>
      <c r="L271">
        <v>5</v>
      </c>
      <c r="M271" t="s">
        <v>23</v>
      </c>
      <c r="N271">
        <v>42</v>
      </c>
      <c r="O271" t="s">
        <v>30</v>
      </c>
      <c r="P271" t="s">
        <v>65</v>
      </c>
      <c r="Q271" t="s">
        <v>66</v>
      </c>
      <c r="R271" s="7">
        <v>2.5</v>
      </c>
      <c r="S271" s="7">
        <v>2.5</v>
      </c>
      <c r="T271" t="s">
        <v>29</v>
      </c>
    </row>
    <row r="272" spans="1:20" x14ac:dyDescent="0.3">
      <c r="A272">
        <v>271</v>
      </c>
      <c r="B272" s="1">
        <v>44927</v>
      </c>
      <c r="C272">
        <v>2023</v>
      </c>
      <c r="D272">
        <v>1</v>
      </c>
      <c r="E272" t="s">
        <v>20</v>
      </c>
      <c r="F272">
        <v>1</v>
      </c>
      <c r="G272" t="s">
        <v>21</v>
      </c>
      <c r="H272" s="2">
        <v>46203.663773148146</v>
      </c>
      <c r="I272">
        <v>13</v>
      </c>
      <c r="J272" t="s">
        <v>120</v>
      </c>
      <c r="K272" s="8">
        <v>2</v>
      </c>
      <c r="L272">
        <v>8</v>
      </c>
      <c r="M272" t="s">
        <v>64</v>
      </c>
      <c r="N272">
        <v>45</v>
      </c>
      <c r="O272" t="s">
        <v>30</v>
      </c>
      <c r="P272" t="s">
        <v>65</v>
      </c>
      <c r="Q272" t="s">
        <v>77</v>
      </c>
      <c r="R272" s="7">
        <v>3</v>
      </c>
      <c r="S272" s="7">
        <v>6</v>
      </c>
      <c r="T272" t="s">
        <v>29</v>
      </c>
    </row>
    <row r="273" spans="1:20" x14ac:dyDescent="0.3">
      <c r="A273">
        <v>272</v>
      </c>
      <c r="B273" s="1">
        <v>44927</v>
      </c>
      <c r="C273">
        <v>2023</v>
      </c>
      <c r="D273">
        <v>1</v>
      </c>
      <c r="E273" t="s">
        <v>20</v>
      </c>
      <c r="F273">
        <v>1</v>
      </c>
      <c r="G273" t="s">
        <v>21</v>
      </c>
      <c r="H273" s="2">
        <v>46203.6640625</v>
      </c>
      <c r="I273">
        <v>13</v>
      </c>
      <c r="J273" t="s">
        <v>120</v>
      </c>
      <c r="K273" s="8">
        <v>2</v>
      </c>
      <c r="L273">
        <v>8</v>
      </c>
      <c r="M273" t="s">
        <v>64</v>
      </c>
      <c r="N273">
        <v>48</v>
      </c>
      <c r="O273" t="s">
        <v>30</v>
      </c>
      <c r="P273" t="s">
        <v>57</v>
      </c>
      <c r="Q273" t="s">
        <v>93</v>
      </c>
      <c r="R273" s="7">
        <v>2.5</v>
      </c>
      <c r="S273" s="7">
        <v>5</v>
      </c>
      <c r="T273" t="s">
        <v>29</v>
      </c>
    </row>
    <row r="274" spans="1:20" x14ac:dyDescent="0.3">
      <c r="A274">
        <v>273</v>
      </c>
      <c r="B274" s="1">
        <v>44927</v>
      </c>
      <c r="C274">
        <v>2023</v>
      </c>
      <c r="D274">
        <v>1</v>
      </c>
      <c r="E274" t="s">
        <v>20</v>
      </c>
      <c r="F274">
        <v>1</v>
      </c>
      <c r="G274" t="s">
        <v>21</v>
      </c>
      <c r="H274" s="2">
        <v>46203.664166666669</v>
      </c>
      <c r="I274">
        <v>13</v>
      </c>
      <c r="J274" t="s">
        <v>120</v>
      </c>
      <c r="K274" s="8">
        <v>1</v>
      </c>
      <c r="L274">
        <v>8</v>
      </c>
      <c r="M274" t="s">
        <v>64</v>
      </c>
      <c r="N274">
        <v>53</v>
      </c>
      <c r="O274" t="s">
        <v>30</v>
      </c>
      <c r="P274" t="s">
        <v>31</v>
      </c>
      <c r="Q274" t="s">
        <v>104</v>
      </c>
      <c r="R274" s="7">
        <v>3</v>
      </c>
      <c r="S274" s="7">
        <v>3</v>
      </c>
      <c r="T274" t="s">
        <v>29</v>
      </c>
    </row>
    <row r="275" spans="1:20" x14ac:dyDescent="0.3">
      <c r="A275">
        <v>274</v>
      </c>
      <c r="B275" s="1">
        <v>44927</v>
      </c>
      <c r="C275">
        <v>2023</v>
      </c>
      <c r="D275">
        <v>1</v>
      </c>
      <c r="E275" t="s">
        <v>20</v>
      </c>
      <c r="F275">
        <v>1</v>
      </c>
      <c r="G275" t="s">
        <v>21</v>
      </c>
      <c r="H275" s="2">
        <v>46203.664976851855</v>
      </c>
      <c r="I275">
        <v>13</v>
      </c>
      <c r="J275" t="s">
        <v>120</v>
      </c>
      <c r="K275" s="8">
        <v>2</v>
      </c>
      <c r="L275">
        <v>5</v>
      </c>
      <c r="M275" t="s">
        <v>23</v>
      </c>
      <c r="N275">
        <v>27</v>
      </c>
      <c r="O275" t="s">
        <v>24</v>
      </c>
      <c r="P275" t="s">
        <v>82</v>
      </c>
      <c r="Q275" t="s">
        <v>84</v>
      </c>
      <c r="R275" s="7">
        <v>3.5</v>
      </c>
      <c r="S275" s="7">
        <v>7</v>
      </c>
      <c r="T275" t="s">
        <v>29</v>
      </c>
    </row>
    <row r="276" spans="1:20" x14ac:dyDescent="0.3">
      <c r="A276">
        <v>275</v>
      </c>
      <c r="B276" s="1">
        <v>44927</v>
      </c>
      <c r="C276">
        <v>2023</v>
      </c>
      <c r="D276">
        <v>1</v>
      </c>
      <c r="E276" t="s">
        <v>20</v>
      </c>
      <c r="F276">
        <v>1</v>
      </c>
      <c r="G276" t="s">
        <v>21</v>
      </c>
      <c r="H276" s="2">
        <v>46203.664976851855</v>
      </c>
      <c r="I276">
        <v>13</v>
      </c>
      <c r="J276" t="s">
        <v>120</v>
      </c>
      <c r="K276" s="8">
        <v>1</v>
      </c>
      <c r="L276">
        <v>5</v>
      </c>
      <c r="M276" t="s">
        <v>23</v>
      </c>
      <c r="N276">
        <v>71</v>
      </c>
      <c r="O276" t="s">
        <v>43</v>
      </c>
      <c r="P276" t="s">
        <v>78</v>
      </c>
      <c r="Q276" t="s">
        <v>79</v>
      </c>
      <c r="R276" s="7">
        <v>3.75</v>
      </c>
      <c r="S276" s="7">
        <v>3.75</v>
      </c>
      <c r="T276" t="s">
        <v>29</v>
      </c>
    </row>
    <row r="277" spans="1:20" x14ac:dyDescent="0.3">
      <c r="A277">
        <v>276</v>
      </c>
      <c r="B277" s="1">
        <v>44927</v>
      </c>
      <c r="C277">
        <v>2023</v>
      </c>
      <c r="D277">
        <v>1</v>
      </c>
      <c r="E277" t="s">
        <v>20</v>
      </c>
      <c r="F277">
        <v>1</v>
      </c>
      <c r="G277" t="s">
        <v>21</v>
      </c>
      <c r="H277" s="2">
        <v>46203.665393518517</v>
      </c>
      <c r="I277">
        <v>13</v>
      </c>
      <c r="J277" t="s">
        <v>120</v>
      </c>
      <c r="K277" s="8">
        <v>2</v>
      </c>
      <c r="L277">
        <v>3</v>
      </c>
      <c r="M277" t="s">
        <v>114</v>
      </c>
      <c r="N277">
        <v>46</v>
      </c>
      <c r="O277" t="s">
        <v>30</v>
      </c>
      <c r="P277" t="s">
        <v>60</v>
      </c>
      <c r="Q277" t="s">
        <v>95</v>
      </c>
      <c r="R277" s="7">
        <v>2.5</v>
      </c>
      <c r="S277" s="7">
        <v>5</v>
      </c>
      <c r="T277" t="s">
        <v>29</v>
      </c>
    </row>
    <row r="278" spans="1:20" x14ac:dyDescent="0.3">
      <c r="A278">
        <v>277</v>
      </c>
      <c r="B278" s="1">
        <v>44927</v>
      </c>
      <c r="C278">
        <v>2023</v>
      </c>
      <c r="D278">
        <v>1</v>
      </c>
      <c r="E278" t="s">
        <v>20</v>
      </c>
      <c r="F278">
        <v>1</v>
      </c>
      <c r="G278" t="s">
        <v>21</v>
      </c>
      <c r="H278" s="2">
        <v>46203.665405092594</v>
      </c>
      <c r="I278">
        <v>13</v>
      </c>
      <c r="J278" t="s">
        <v>120</v>
      </c>
      <c r="K278" s="8">
        <v>1</v>
      </c>
      <c r="L278">
        <v>5</v>
      </c>
      <c r="M278" t="s">
        <v>23</v>
      </c>
      <c r="N278">
        <v>34</v>
      </c>
      <c r="O278" t="s">
        <v>24</v>
      </c>
      <c r="P278" t="s">
        <v>99</v>
      </c>
      <c r="Q278" t="s">
        <v>100</v>
      </c>
      <c r="R278" s="7">
        <v>2.4500000000000002</v>
      </c>
      <c r="S278" s="7">
        <v>2.4500000000000002</v>
      </c>
      <c r="T278" t="s">
        <v>29</v>
      </c>
    </row>
    <row r="279" spans="1:20" x14ac:dyDescent="0.3">
      <c r="A279">
        <v>278</v>
      </c>
      <c r="B279" s="1">
        <v>44927</v>
      </c>
      <c r="C279">
        <v>2023</v>
      </c>
      <c r="D279">
        <v>1</v>
      </c>
      <c r="E279" t="s">
        <v>20</v>
      </c>
      <c r="F279">
        <v>1</v>
      </c>
      <c r="G279" t="s">
        <v>21</v>
      </c>
      <c r="H279" s="2">
        <v>46203.666643518518</v>
      </c>
      <c r="I279">
        <v>13</v>
      </c>
      <c r="J279" t="s">
        <v>120</v>
      </c>
      <c r="K279" s="8">
        <v>2</v>
      </c>
      <c r="L279">
        <v>5</v>
      </c>
      <c r="M279" t="s">
        <v>23</v>
      </c>
      <c r="N279">
        <v>39</v>
      </c>
      <c r="O279" t="s">
        <v>24</v>
      </c>
      <c r="P279" t="s">
        <v>48</v>
      </c>
      <c r="Q279" t="s">
        <v>49</v>
      </c>
      <c r="R279" s="7">
        <v>4.25</v>
      </c>
      <c r="S279" s="7">
        <v>8.5</v>
      </c>
      <c r="T279" t="s">
        <v>29</v>
      </c>
    </row>
    <row r="280" spans="1:20" x14ac:dyDescent="0.3">
      <c r="A280">
        <v>279</v>
      </c>
      <c r="B280" s="1">
        <v>44927</v>
      </c>
      <c r="C280">
        <v>2023</v>
      </c>
      <c r="D280">
        <v>1</v>
      </c>
      <c r="E280" t="s">
        <v>20</v>
      </c>
      <c r="F280">
        <v>1</v>
      </c>
      <c r="G280" t="s">
        <v>21</v>
      </c>
      <c r="H280" s="2">
        <v>46203.66914351852</v>
      </c>
      <c r="I280">
        <v>14</v>
      </c>
      <c r="J280" t="s">
        <v>120</v>
      </c>
      <c r="K280" s="8">
        <v>2</v>
      </c>
      <c r="L280">
        <v>5</v>
      </c>
      <c r="M280" t="s">
        <v>23</v>
      </c>
      <c r="N280">
        <v>25</v>
      </c>
      <c r="O280" t="s">
        <v>24</v>
      </c>
      <c r="P280" t="s">
        <v>82</v>
      </c>
      <c r="Q280" t="s">
        <v>96</v>
      </c>
      <c r="R280" s="7">
        <v>2.2000000000000002</v>
      </c>
      <c r="S280" s="7">
        <v>4.4000000000000004</v>
      </c>
      <c r="T280" t="s">
        <v>29</v>
      </c>
    </row>
    <row r="281" spans="1:20" x14ac:dyDescent="0.3">
      <c r="A281">
        <v>280</v>
      </c>
      <c r="B281" s="1">
        <v>44927</v>
      </c>
      <c r="C281">
        <v>2023</v>
      </c>
      <c r="D281">
        <v>1</v>
      </c>
      <c r="E281" t="s">
        <v>20</v>
      </c>
      <c r="F281">
        <v>1</v>
      </c>
      <c r="G281" t="s">
        <v>21</v>
      </c>
      <c r="H281" s="2">
        <v>46203.66914351852</v>
      </c>
      <c r="I281">
        <v>14</v>
      </c>
      <c r="J281" t="s">
        <v>120</v>
      </c>
      <c r="K281" s="8">
        <v>1</v>
      </c>
      <c r="L281">
        <v>5</v>
      </c>
      <c r="M281" t="s">
        <v>23</v>
      </c>
      <c r="N281">
        <v>69</v>
      </c>
      <c r="O281" t="s">
        <v>43</v>
      </c>
      <c r="P281" t="s">
        <v>71</v>
      </c>
      <c r="Q281" t="s">
        <v>72</v>
      </c>
      <c r="R281" s="7">
        <v>3.25</v>
      </c>
      <c r="S281" s="7">
        <v>3.25</v>
      </c>
      <c r="T281" t="s">
        <v>29</v>
      </c>
    </row>
    <row r="282" spans="1:20" x14ac:dyDescent="0.3">
      <c r="A282">
        <v>281</v>
      </c>
      <c r="B282" s="1">
        <v>44927</v>
      </c>
      <c r="C282">
        <v>2023</v>
      </c>
      <c r="D282">
        <v>1</v>
      </c>
      <c r="E282" t="s">
        <v>20</v>
      </c>
      <c r="F282">
        <v>1</v>
      </c>
      <c r="G282" t="s">
        <v>21</v>
      </c>
      <c r="H282" s="2">
        <v>46203.669224537036</v>
      </c>
      <c r="I282">
        <v>14</v>
      </c>
      <c r="J282" t="s">
        <v>120</v>
      </c>
      <c r="K282" s="8">
        <v>1</v>
      </c>
      <c r="L282">
        <v>3</v>
      </c>
      <c r="M282" t="s">
        <v>114</v>
      </c>
      <c r="N282">
        <v>32</v>
      </c>
      <c r="O282" t="s">
        <v>24</v>
      </c>
      <c r="P282" t="s">
        <v>25</v>
      </c>
      <c r="Q282" t="s">
        <v>26</v>
      </c>
      <c r="R282" s="7">
        <v>3</v>
      </c>
      <c r="S282" s="7">
        <v>3</v>
      </c>
      <c r="T282" t="s">
        <v>29</v>
      </c>
    </row>
    <row r="283" spans="1:20" x14ac:dyDescent="0.3">
      <c r="A283">
        <v>282</v>
      </c>
      <c r="B283" s="1">
        <v>44927</v>
      </c>
      <c r="C283">
        <v>2023</v>
      </c>
      <c r="D283">
        <v>1</v>
      </c>
      <c r="E283" t="s">
        <v>20</v>
      </c>
      <c r="F283">
        <v>1</v>
      </c>
      <c r="G283" t="s">
        <v>21</v>
      </c>
      <c r="H283" s="2">
        <v>46203.671666666669</v>
      </c>
      <c r="I283">
        <v>14</v>
      </c>
      <c r="J283" t="s">
        <v>120</v>
      </c>
      <c r="K283" s="8">
        <v>2</v>
      </c>
      <c r="L283">
        <v>3</v>
      </c>
      <c r="M283" t="s">
        <v>114</v>
      </c>
      <c r="N283">
        <v>41</v>
      </c>
      <c r="O283" t="s">
        <v>24</v>
      </c>
      <c r="P283" t="s">
        <v>48</v>
      </c>
      <c r="Q283" t="s">
        <v>105</v>
      </c>
      <c r="R283" s="7">
        <v>4.25</v>
      </c>
      <c r="S283" s="7">
        <v>8.5</v>
      </c>
      <c r="T283" t="s">
        <v>29</v>
      </c>
    </row>
    <row r="284" spans="1:20" x14ac:dyDescent="0.3">
      <c r="A284">
        <v>283</v>
      </c>
      <c r="B284" s="1">
        <v>44927</v>
      </c>
      <c r="C284">
        <v>2023</v>
      </c>
      <c r="D284">
        <v>1</v>
      </c>
      <c r="E284" t="s">
        <v>20</v>
      </c>
      <c r="F284">
        <v>1</v>
      </c>
      <c r="G284" t="s">
        <v>21</v>
      </c>
      <c r="H284" s="2">
        <v>46203.672175925924</v>
      </c>
      <c r="I284">
        <v>14</v>
      </c>
      <c r="J284" t="s">
        <v>120</v>
      </c>
      <c r="K284" s="8">
        <v>1</v>
      </c>
      <c r="L284">
        <v>3</v>
      </c>
      <c r="M284" t="s">
        <v>114</v>
      </c>
      <c r="N284">
        <v>23</v>
      </c>
      <c r="O284" t="s">
        <v>24</v>
      </c>
      <c r="P284" t="s">
        <v>40</v>
      </c>
      <c r="Q284" t="s">
        <v>94</v>
      </c>
      <c r="R284" s="7">
        <v>2.5</v>
      </c>
      <c r="S284" s="7">
        <v>2.5</v>
      </c>
      <c r="T284" t="s">
        <v>29</v>
      </c>
    </row>
    <row r="285" spans="1:20" x14ac:dyDescent="0.3">
      <c r="A285">
        <v>284</v>
      </c>
      <c r="B285" s="1">
        <v>44927</v>
      </c>
      <c r="C285">
        <v>2023</v>
      </c>
      <c r="D285">
        <v>1</v>
      </c>
      <c r="E285" t="s">
        <v>20</v>
      </c>
      <c r="F285">
        <v>1</v>
      </c>
      <c r="G285" t="s">
        <v>21</v>
      </c>
      <c r="H285" s="2">
        <v>46203.672256944446</v>
      </c>
      <c r="I285">
        <v>14</v>
      </c>
      <c r="J285" t="s">
        <v>120</v>
      </c>
      <c r="K285" s="8">
        <v>1</v>
      </c>
      <c r="L285">
        <v>8</v>
      </c>
      <c r="M285" t="s">
        <v>64</v>
      </c>
      <c r="N285">
        <v>24</v>
      </c>
      <c r="O285" t="s">
        <v>24</v>
      </c>
      <c r="P285" t="s">
        <v>40</v>
      </c>
      <c r="Q285" t="s">
        <v>89</v>
      </c>
      <c r="R285" s="7">
        <v>3</v>
      </c>
      <c r="S285" s="7">
        <v>3</v>
      </c>
      <c r="T285" t="s">
        <v>29</v>
      </c>
    </row>
    <row r="286" spans="1:20" x14ac:dyDescent="0.3">
      <c r="A286">
        <v>285</v>
      </c>
      <c r="B286" s="1">
        <v>44927</v>
      </c>
      <c r="C286">
        <v>2023</v>
      </c>
      <c r="D286">
        <v>1</v>
      </c>
      <c r="E286" t="s">
        <v>20</v>
      </c>
      <c r="F286">
        <v>1</v>
      </c>
      <c r="G286" t="s">
        <v>21</v>
      </c>
      <c r="H286" s="2">
        <v>46203.672256944446</v>
      </c>
      <c r="I286">
        <v>14</v>
      </c>
      <c r="J286" t="s">
        <v>120</v>
      </c>
      <c r="K286" s="8">
        <v>1</v>
      </c>
      <c r="L286">
        <v>8</v>
      </c>
      <c r="M286" t="s">
        <v>64</v>
      </c>
      <c r="N286">
        <v>71</v>
      </c>
      <c r="O286" t="s">
        <v>43</v>
      </c>
      <c r="P286" t="s">
        <v>78</v>
      </c>
      <c r="Q286" t="s">
        <v>79</v>
      </c>
      <c r="R286" s="7">
        <v>3.75</v>
      </c>
      <c r="S286" s="7">
        <v>3.75</v>
      </c>
      <c r="T286" t="s">
        <v>29</v>
      </c>
    </row>
    <row r="287" spans="1:20" x14ac:dyDescent="0.3">
      <c r="A287">
        <v>286</v>
      </c>
      <c r="B287" s="1">
        <v>44927</v>
      </c>
      <c r="C287">
        <v>2023</v>
      </c>
      <c r="D287">
        <v>1</v>
      </c>
      <c r="E287" t="s">
        <v>20</v>
      </c>
      <c r="F287">
        <v>1</v>
      </c>
      <c r="G287" t="s">
        <v>21</v>
      </c>
      <c r="H287" s="2">
        <v>46203.674467592595</v>
      </c>
      <c r="I287">
        <v>14</v>
      </c>
      <c r="J287" t="s">
        <v>120</v>
      </c>
      <c r="K287" s="8">
        <v>2</v>
      </c>
      <c r="L287">
        <v>8</v>
      </c>
      <c r="M287" t="s">
        <v>64</v>
      </c>
      <c r="N287">
        <v>60</v>
      </c>
      <c r="O287" t="s">
        <v>35</v>
      </c>
      <c r="P287" t="s">
        <v>36</v>
      </c>
      <c r="Q287" t="s">
        <v>90</v>
      </c>
      <c r="R287" s="7">
        <v>3.75</v>
      </c>
      <c r="S287" s="7">
        <v>7.5</v>
      </c>
      <c r="T287" t="s">
        <v>29</v>
      </c>
    </row>
    <row r="288" spans="1:20" x14ac:dyDescent="0.3">
      <c r="A288">
        <v>287</v>
      </c>
      <c r="B288" s="1">
        <v>44927</v>
      </c>
      <c r="C288">
        <v>2023</v>
      </c>
      <c r="D288">
        <v>1</v>
      </c>
      <c r="E288" t="s">
        <v>20</v>
      </c>
      <c r="F288">
        <v>1</v>
      </c>
      <c r="G288" t="s">
        <v>21</v>
      </c>
      <c r="H288" s="2">
        <v>46203.676018518519</v>
      </c>
      <c r="I288">
        <v>14</v>
      </c>
      <c r="J288" t="s">
        <v>120</v>
      </c>
      <c r="K288" s="8">
        <v>2</v>
      </c>
      <c r="L288">
        <v>5</v>
      </c>
      <c r="M288" t="s">
        <v>23</v>
      </c>
      <c r="N288">
        <v>57</v>
      </c>
      <c r="O288" t="s">
        <v>30</v>
      </c>
      <c r="P288" t="s">
        <v>31</v>
      </c>
      <c r="Q288" t="s">
        <v>32</v>
      </c>
      <c r="R288" s="7">
        <v>3.1</v>
      </c>
      <c r="S288" s="7">
        <v>6.2</v>
      </c>
      <c r="T288" t="s">
        <v>29</v>
      </c>
    </row>
    <row r="289" spans="1:20" x14ac:dyDescent="0.3">
      <c r="A289">
        <v>288</v>
      </c>
      <c r="B289" s="1">
        <v>44927</v>
      </c>
      <c r="C289">
        <v>2023</v>
      </c>
      <c r="D289">
        <v>1</v>
      </c>
      <c r="E289" t="s">
        <v>20</v>
      </c>
      <c r="F289">
        <v>1</v>
      </c>
      <c r="G289" t="s">
        <v>21</v>
      </c>
      <c r="H289" s="2">
        <v>46203.680520833332</v>
      </c>
      <c r="I289">
        <v>14</v>
      </c>
      <c r="J289" t="s">
        <v>120</v>
      </c>
      <c r="K289" s="8">
        <v>2</v>
      </c>
      <c r="L289">
        <v>5</v>
      </c>
      <c r="M289" t="s">
        <v>23</v>
      </c>
      <c r="N289">
        <v>23</v>
      </c>
      <c r="O289" t="s">
        <v>24</v>
      </c>
      <c r="P289" t="s">
        <v>40</v>
      </c>
      <c r="Q289" t="s">
        <v>94</v>
      </c>
      <c r="R289" s="7">
        <v>2.5</v>
      </c>
      <c r="S289" s="7">
        <v>5</v>
      </c>
      <c r="T289" t="s">
        <v>29</v>
      </c>
    </row>
    <row r="290" spans="1:20" x14ac:dyDescent="0.3">
      <c r="A290">
        <v>289</v>
      </c>
      <c r="B290" s="1">
        <v>44927</v>
      </c>
      <c r="C290">
        <v>2023</v>
      </c>
      <c r="D290">
        <v>1</v>
      </c>
      <c r="E290" t="s">
        <v>20</v>
      </c>
      <c r="F290">
        <v>1</v>
      </c>
      <c r="G290" t="s">
        <v>21</v>
      </c>
      <c r="H290" s="2">
        <v>46203.680625000001</v>
      </c>
      <c r="I290">
        <v>14</v>
      </c>
      <c r="J290" t="s">
        <v>120</v>
      </c>
      <c r="K290" s="8">
        <v>2</v>
      </c>
      <c r="L290">
        <v>3</v>
      </c>
      <c r="M290" t="s">
        <v>114</v>
      </c>
      <c r="N290">
        <v>35</v>
      </c>
      <c r="O290" t="s">
        <v>24</v>
      </c>
      <c r="P290" t="s">
        <v>99</v>
      </c>
      <c r="Q290" t="s">
        <v>110</v>
      </c>
      <c r="R290" s="7">
        <v>3.1</v>
      </c>
      <c r="S290" s="7">
        <v>6.2</v>
      </c>
      <c r="T290" t="s">
        <v>29</v>
      </c>
    </row>
    <row r="291" spans="1:20" x14ac:dyDescent="0.3">
      <c r="A291">
        <v>290</v>
      </c>
      <c r="B291" s="1">
        <v>44927</v>
      </c>
      <c r="C291">
        <v>2023</v>
      </c>
      <c r="D291">
        <v>1</v>
      </c>
      <c r="E291" t="s">
        <v>20</v>
      </c>
      <c r="F291">
        <v>1</v>
      </c>
      <c r="G291" t="s">
        <v>21</v>
      </c>
      <c r="H291" s="2">
        <v>46203.680648148147</v>
      </c>
      <c r="I291">
        <v>14</v>
      </c>
      <c r="J291" t="s">
        <v>120</v>
      </c>
      <c r="K291" s="8">
        <v>2</v>
      </c>
      <c r="L291">
        <v>3</v>
      </c>
      <c r="M291" t="s">
        <v>114</v>
      </c>
      <c r="N291">
        <v>42</v>
      </c>
      <c r="O291" t="s">
        <v>30</v>
      </c>
      <c r="P291" t="s">
        <v>65</v>
      </c>
      <c r="Q291" t="s">
        <v>66</v>
      </c>
      <c r="R291" s="7">
        <v>2.5</v>
      </c>
      <c r="S291" s="7">
        <v>5</v>
      </c>
      <c r="T291" t="s">
        <v>29</v>
      </c>
    </row>
    <row r="292" spans="1:20" x14ac:dyDescent="0.3">
      <c r="A292">
        <v>291</v>
      </c>
      <c r="B292" s="1">
        <v>44927</v>
      </c>
      <c r="C292">
        <v>2023</v>
      </c>
      <c r="D292">
        <v>1</v>
      </c>
      <c r="E292" t="s">
        <v>20</v>
      </c>
      <c r="F292">
        <v>1</v>
      </c>
      <c r="G292" t="s">
        <v>21</v>
      </c>
      <c r="H292" s="2">
        <v>46203.681956018518</v>
      </c>
      <c r="I292">
        <v>14</v>
      </c>
      <c r="J292" t="s">
        <v>120</v>
      </c>
      <c r="K292" s="8">
        <v>2</v>
      </c>
      <c r="L292">
        <v>8</v>
      </c>
      <c r="M292" t="s">
        <v>64</v>
      </c>
      <c r="N292">
        <v>49</v>
      </c>
      <c r="O292" t="s">
        <v>30</v>
      </c>
      <c r="P292" t="s">
        <v>57</v>
      </c>
      <c r="Q292" t="s">
        <v>117</v>
      </c>
      <c r="R292" s="7">
        <v>3</v>
      </c>
      <c r="S292" s="7">
        <v>6</v>
      </c>
      <c r="T292" t="s">
        <v>29</v>
      </c>
    </row>
    <row r="293" spans="1:20" x14ac:dyDescent="0.3">
      <c r="A293">
        <v>292</v>
      </c>
      <c r="B293" s="1">
        <v>44927</v>
      </c>
      <c r="C293">
        <v>2023</v>
      </c>
      <c r="D293">
        <v>1</v>
      </c>
      <c r="E293" t="s">
        <v>20</v>
      </c>
      <c r="F293">
        <v>1</v>
      </c>
      <c r="G293" t="s">
        <v>21</v>
      </c>
      <c r="H293" s="2">
        <v>46203.682384259257</v>
      </c>
      <c r="I293">
        <v>14</v>
      </c>
      <c r="J293" t="s">
        <v>120</v>
      </c>
      <c r="K293" s="8">
        <v>2</v>
      </c>
      <c r="L293">
        <v>5</v>
      </c>
      <c r="M293" t="s">
        <v>23</v>
      </c>
      <c r="N293">
        <v>39</v>
      </c>
      <c r="O293" t="s">
        <v>24</v>
      </c>
      <c r="P293" t="s">
        <v>48</v>
      </c>
      <c r="Q293" t="s">
        <v>49</v>
      </c>
      <c r="R293" s="7">
        <v>4.25</v>
      </c>
      <c r="S293" s="7">
        <v>8.5</v>
      </c>
      <c r="T293" t="s">
        <v>29</v>
      </c>
    </row>
    <row r="294" spans="1:20" x14ac:dyDescent="0.3">
      <c r="A294">
        <v>293</v>
      </c>
      <c r="B294" s="1">
        <v>44927</v>
      </c>
      <c r="C294">
        <v>2023</v>
      </c>
      <c r="D294">
        <v>1</v>
      </c>
      <c r="E294" t="s">
        <v>20</v>
      </c>
      <c r="F294">
        <v>1</v>
      </c>
      <c r="G294" t="s">
        <v>21</v>
      </c>
      <c r="H294" s="2">
        <v>46203.682962962965</v>
      </c>
      <c r="I294">
        <v>14</v>
      </c>
      <c r="J294" t="s">
        <v>120</v>
      </c>
      <c r="K294" s="8">
        <v>1</v>
      </c>
      <c r="L294">
        <v>8</v>
      </c>
      <c r="M294" t="s">
        <v>64</v>
      </c>
      <c r="N294">
        <v>55</v>
      </c>
      <c r="O294" t="s">
        <v>30</v>
      </c>
      <c r="P294" t="s">
        <v>31</v>
      </c>
      <c r="Q294" t="s">
        <v>88</v>
      </c>
      <c r="R294" s="7">
        <v>4</v>
      </c>
      <c r="S294" s="7">
        <v>4</v>
      </c>
      <c r="T294" t="s">
        <v>29</v>
      </c>
    </row>
    <row r="295" spans="1:20" x14ac:dyDescent="0.3">
      <c r="A295">
        <v>294</v>
      </c>
      <c r="B295" s="1">
        <v>44927</v>
      </c>
      <c r="C295">
        <v>2023</v>
      </c>
      <c r="D295">
        <v>1</v>
      </c>
      <c r="E295" t="s">
        <v>20</v>
      </c>
      <c r="F295">
        <v>1</v>
      </c>
      <c r="G295" t="s">
        <v>21</v>
      </c>
      <c r="H295" s="2">
        <v>46203.682962962965</v>
      </c>
      <c r="I295">
        <v>14</v>
      </c>
      <c r="J295" t="s">
        <v>120</v>
      </c>
      <c r="K295" s="8">
        <v>1</v>
      </c>
      <c r="L295">
        <v>8</v>
      </c>
      <c r="M295" t="s">
        <v>64</v>
      </c>
      <c r="N295">
        <v>71</v>
      </c>
      <c r="O295" t="s">
        <v>43</v>
      </c>
      <c r="P295" t="s">
        <v>78</v>
      </c>
      <c r="Q295" t="s">
        <v>79</v>
      </c>
      <c r="R295" s="7">
        <v>3.75</v>
      </c>
      <c r="S295" s="7">
        <v>3.75</v>
      </c>
      <c r="T295" t="s">
        <v>29</v>
      </c>
    </row>
    <row r="296" spans="1:20" x14ac:dyDescent="0.3">
      <c r="A296">
        <v>295</v>
      </c>
      <c r="B296" s="1">
        <v>44927</v>
      </c>
      <c r="C296">
        <v>2023</v>
      </c>
      <c r="D296">
        <v>1</v>
      </c>
      <c r="E296" t="s">
        <v>20</v>
      </c>
      <c r="F296">
        <v>1</v>
      </c>
      <c r="G296" t="s">
        <v>21</v>
      </c>
      <c r="H296" s="2">
        <v>46203.683969907404</v>
      </c>
      <c r="I296">
        <v>14</v>
      </c>
      <c r="J296" t="s">
        <v>120</v>
      </c>
      <c r="K296" s="8">
        <v>2</v>
      </c>
      <c r="L296">
        <v>3</v>
      </c>
      <c r="M296" t="s">
        <v>114</v>
      </c>
      <c r="N296">
        <v>41</v>
      </c>
      <c r="O296" t="s">
        <v>24</v>
      </c>
      <c r="P296" t="s">
        <v>48</v>
      </c>
      <c r="Q296" t="s">
        <v>105</v>
      </c>
      <c r="R296" s="7">
        <v>4.25</v>
      </c>
      <c r="S296" s="7">
        <v>8.5</v>
      </c>
      <c r="T296" t="s">
        <v>29</v>
      </c>
    </row>
    <row r="297" spans="1:20" x14ac:dyDescent="0.3">
      <c r="A297">
        <v>296</v>
      </c>
      <c r="B297" s="1">
        <v>44927</v>
      </c>
      <c r="C297">
        <v>2023</v>
      </c>
      <c r="D297">
        <v>1</v>
      </c>
      <c r="E297" t="s">
        <v>20</v>
      </c>
      <c r="F297">
        <v>1</v>
      </c>
      <c r="G297" t="s">
        <v>21</v>
      </c>
      <c r="H297" s="2">
        <v>46203.683969907404</v>
      </c>
      <c r="I297">
        <v>14</v>
      </c>
      <c r="J297" t="s">
        <v>120</v>
      </c>
      <c r="K297" s="8">
        <v>1</v>
      </c>
      <c r="L297">
        <v>3</v>
      </c>
      <c r="M297" t="s">
        <v>114</v>
      </c>
      <c r="N297">
        <v>79</v>
      </c>
      <c r="O297" t="s">
        <v>43</v>
      </c>
      <c r="P297" t="s">
        <v>44</v>
      </c>
      <c r="Q297" t="s">
        <v>62</v>
      </c>
      <c r="R297" s="7">
        <v>3.75</v>
      </c>
      <c r="S297" s="7">
        <v>3.75</v>
      </c>
      <c r="T297" t="s">
        <v>29</v>
      </c>
    </row>
    <row r="298" spans="1:20" x14ac:dyDescent="0.3">
      <c r="A298">
        <v>297</v>
      </c>
      <c r="B298" s="1">
        <v>44927</v>
      </c>
      <c r="C298">
        <v>2023</v>
      </c>
      <c r="D298">
        <v>1</v>
      </c>
      <c r="E298" t="s">
        <v>20</v>
      </c>
      <c r="F298">
        <v>1</v>
      </c>
      <c r="G298" t="s">
        <v>21</v>
      </c>
      <c r="H298" s="2">
        <v>46203.684398148151</v>
      </c>
      <c r="I298">
        <v>14</v>
      </c>
      <c r="J298" t="s">
        <v>120</v>
      </c>
      <c r="K298" s="8">
        <v>2</v>
      </c>
      <c r="L298">
        <v>3</v>
      </c>
      <c r="M298" t="s">
        <v>114</v>
      </c>
      <c r="N298">
        <v>58</v>
      </c>
      <c r="O298" t="s">
        <v>35</v>
      </c>
      <c r="P298" t="s">
        <v>36</v>
      </c>
      <c r="Q298" t="s">
        <v>51</v>
      </c>
      <c r="R298" s="7">
        <v>3.5</v>
      </c>
      <c r="S298" s="7">
        <v>7</v>
      </c>
      <c r="T298" t="s">
        <v>29</v>
      </c>
    </row>
    <row r="299" spans="1:20" x14ac:dyDescent="0.3">
      <c r="A299">
        <v>298</v>
      </c>
      <c r="B299" s="1">
        <v>44927</v>
      </c>
      <c r="C299">
        <v>2023</v>
      </c>
      <c r="D299">
        <v>1</v>
      </c>
      <c r="E299" t="s">
        <v>20</v>
      </c>
      <c r="F299">
        <v>1</v>
      </c>
      <c r="G299" t="s">
        <v>21</v>
      </c>
      <c r="H299" s="2">
        <v>46203.684479166666</v>
      </c>
      <c r="I299">
        <v>14</v>
      </c>
      <c r="J299" t="s">
        <v>120</v>
      </c>
      <c r="K299" s="8">
        <v>2</v>
      </c>
      <c r="L299">
        <v>5</v>
      </c>
      <c r="M299" t="s">
        <v>23</v>
      </c>
      <c r="N299">
        <v>24</v>
      </c>
      <c r="O299" t="s">
        <v>24</v>
      </c>
      <c r="P299" t="s">
        <v>40</v>
      </c>
      <c r="Q299" t="s">
        <v>89</v>
      </c>
      <c r="R299" s="7">
        <v>3</v>
      </c>
      <c r="S299" s="7">
        <v>6</v>
      </c>
      <c r="T299" t="s">
        <v>29</v>
      </c>
    </row>
    <row r="300" spans="1:20" x14ac:dyDescent="0.3">
      <c r="A300">
        <v>299</v>
      </c>
      <c r="B300" s="1">
        <v>44927</v>
      </c>
      <c r="C300">
        <v>2023</v>
      </c>
      <c r="D300">
        <v>1</v>
      </c>
      <c r="E300" t="s">
        <v>20</v>
      </c>
      <c r="F300">
        <v>1</v>
      </c>
      <c r="G300" t="s">
        <v>21</v>
      </c>
      <c r="H300" s="2">
        <v>46203.68513888889</v>
      </c>
      <c r="I300">
        <v>14</v>
      </c>
      <c r="J300" t="s">
        <v>120</v>
      </c>
      <c r="K300" s="8">
        <v>1</v>
      </c>
      <c r="L300">
        <v>8</v>
      </c>
      <c r="M300" t="s">
        <v>64</v>
      </c>
      <c r="N300">
        <v>61</v>
      </c>
      <c r="O300" t="s">
        <v>35</v>
      </c>
      <c r="P300" t="s">
        <v>36</v>
      </c>
      <c r="Q300" t="s">
        <v>68</v>
      </c>
      <c r="R300" s="7">
        <v>4.75</v>
      </c>
      <c r="S300" s="7">
        <v>4.75</v>
      </c>
      <c r="T300" t="s">
        <v>29</v>
      </c>
    </row>
    <row r="301" spans="1:20" x14ac:dyDescent="0.3">
      <c r="A301">
        <v>300</v>
      </c>
      <c r="B301" s="1">
        <v>44927</v>
      </c>
      <c r="C301">
        <v>2023</v>
      </c>
      <c r="D301">
        <v>1</v>
      </c>
      <c r="E301" t="s">
        <v>20</v>
      </c>
      <c r="F301">
        <v>1</v>
      </c>
      <c r="G301" t="s">
        <v>21</v>
      </c>
      <c r="H301" s="2">
        <v>46203.686863425923</v>
      </c>
      <c r="I301">
        <v>14</v>
      </c>
      <c r="J301" t="s">
        <v>120</v>
      </c>
      <c r="K301" s="8">
        <v>2</v>
      </c>
      <c r="L301">
        <v>5</v>
      </c>
      <c r="M301" t="s">
        <v>23</v>
      </c>
      <c r="N301">
        <v>45</v>
      </c>
      <c r="O301" t="s">
        <v>30</v>
      </c>
      <c r="P301" t="s">
        <v>65</v>
      </c>
      <c r="Q301" t="s">
        <v>77</v>
      </c>
      <c r="R301" s="7">
        <v>3</v>
      </c>
      <c r="S301" s="7">
        <v>6</v>
      </c>
      <c r="T301" t="s">
        <v>29</v>
      </c>
    </row>
    <row r="302" spans="1:20" x14ac:dyDescent="0.3">
      <c r="A302">
        <v>301</v>
      </c>
      <c r="B302" s="1">
        <v>44927</v>
      </c>
      <c r="C302">
        <v>2023</v>
      </c>
      <c r="D302">
        <v>1</v>
      </c>
      <c r="E302" t="s">
        <v>20</v>
      </c>
      <c r="F302">
        <v>1</v>
      </c>
      <c r="G302" t="s">
        <v>21</v>
      </c>
      <c r="H302" s="2">
        <v>46203.687384259261</v>
      </c>
      <c r="I302">
        <v>14</v>
      </c>
      <c r="J302" t="s">
        <v>120</v>
      </c>
      <c r="K302" s="8">
        <v>2</v>
      </c>
      <c r="L302">
        <v>5</v>
      </c>
      <c r="M302" t="s">
        <v>23</v>
      </c>
      <c r="N302">
        <v>49</v>
      </c>
      <c r="O302" t="s">
        <v>30</v>
      </c>
      <c r="P302" t="s">
        <v>57</v>
      </c>
      <c r="Q302" t="s">
        <v>117</v>
      </c>
      <c r="R302" s="7">
        <v>3</v>
      </c>
      <c r="S302" s="7">
        <v>6</v>
      </c>
      <c r="T302" t="s">
        <v>29</v>
      </c>
    </row>
    <row r="303" spans="1:20" x14ac:dyDescent="0.3">
      <c r="A303">
        <v>302</v>
      </c>
      <c r="B303" s="1">
        <v>44927</v>
      </c>
      <c r="C303">
        <v>2023</v>
      </c>
      <c r="D303">
        <v>1</v>
      </c>
      <c r="E303" t="s">
        <v>20</v>
      </c>
      <c r="F303">
        <v>1</v>
      </c>
      <c r="G303" t="s">
        <v>21</v>
      </c>
      <c r="H303" s="2">
        <v>46203.687384259261</v>
      </c>
      <c r="I303">
        <v>14</v>
      </c>
      <c r="J303" t="s">
        <v>120</v>
      </c>
      <c r="K303" s="8">
        <v>1</v>
      </c>
      <c r="L303">
        <v>5</v>
      </c>
      <c r="M303" t="s">
        <v>23</v>
      </c>
      <c r="N303">
        <v>78</v>
      </c>
      <c r="O303" t="s">
        <v>43</v>
      </c>
      <c r="P303" t="s">
        <v>44</v>
      </c>
      <c r="Q303" t="s">
        <v>91</v>
      </c>
      <c r="R303" s="7">
        <v>4.5</v>
      </c>
      <c r="S303" s="7">
        <v>4.5</v>
      </c>
      <c r="T303" t="s">
        <v>29</v>
      </c>
    </row>
    <row r="304" spans="1:20" x14ac:dyDescent="0.3">
      <c r="A304">
        <v>303</v>
      </c>
      <c r="B304" s="1">
        <v>44927</v>
      </c>
      <c r="C304">
        <v>2023</v>
      </c>
      <c r="D304">
        <v>1</v>
      </c>
      <c r="E304" t="s">
        <v>20</v>
      </c>
      <c r="F304">
        <v>1</v>
      </c>
      <c r="G304" t="s">
        <v>21</v>
      </c>
      <c r="H304" s="2">
        <v>46203.688090277778</v>
      </c>
      <c r="I304">
        <v>14</v>
      </c>
      <c r="J304" t="s">
        <v>120</v>
      </c>
      <c r="K304" s="8">
        <v>1</v>
      </c>
      <c r="L304">
        <v>8</v>
      </c>
      <c r="M304" t="s">
        <v>64</v>
      </c>
      <c r="N304">
        <v>48</v>
      </c>
      <c r="O304" t="s">
        <v>30</v>
      </c>
      <c r="P304" t="s">
        <v>57</v>
      </c>
      <c r="Q304" t="s">
        <v>93</v>
      </c>
      <c r="R304" s="7">
        <v>2.5</v>
      </c>
      <c r="S304" s="7">
        <v>2.5</v>
      </c>
      <c r="T304" t="s">
        <v>29</v>
      </c>
    </row>
    <row r="305" spans="1:20" x14ac:dyDescent="0.3">
      <c r="A305">
        <v>304</v>
      </c>
      <c r="B305" s="1">
        <v>44927</v>
      </c>
      <c r="C305">
        <v>2023</v>
      </c>
      <c r="D305">
        <v>1</v>
      </c>
      <c r="E305" t="s">
        <v>20</v>
      </c>
      <c r="F305">
        <v>1</v>
      </c>
      <c r="G305" t="s">
        <v>21</v>
      </c>
      <c r="H305" s="2">
        <v>46203.688171296293</v>
      </c>
      <c r="I305">
        <v>14</v>
      </c>
      <c r="J305" t="s">
        <v>120</v>
      </c>
      <c r="K305" s="8">
        <v>1</v>
      </c>
      <c r="L305">
        <v>5</v>
      </c>
      <c r="M305" t="s">
        <v>23</v>
      </c>
      <c r="N305">
        <v>57</v>
      </c>
      <c r="O305" t="s">
        <v>30</v>
      </c>
      <c r="P305" t="s">
        <v>31</v>
      </c>
      <c r="Q305" t="s">
        <v>32</v>
      </c>
      <c r="R305" s="7">
        <v>3.1</v>
      </c>
      <c r="S305" s="7">
        <v>3.1</v>
      </c>
      <c r="T305" t="s">
        <v>29</v>
      </c>
    </row>
    <row r="306" spans="1:20" x14ac:dyDescent="0.3">
      <c r="A306">
        <v>305</v>
      </c>
      <c r="B306" s="1">
        <v>44927</v>
      </c>
      <c r="C306">
        <v>2023</v>
      </c>
      <c r="D306">
        <v>1</v>
      </c>
      <c r="E306" t="s">
        <v>20</v>
      </c>
      <c r="F306">
        <v>1</v>
      </c>
      <c r="G306" t="s">
        <v>21</v>
      </c>
      <c r="H306" s="2">
        <v>46203.68849537037</v>
      </c>
      <c r="I306">
        <v>14</v>
      </c>
      <c r="J306" t="s">
        <v>120</v>
      </c>
      <c r="K306" s="8">
        <v>1</v>
      </c>
      <c r="L306">
        <v>5</v>
      </c>
      <c r="M306" t="s">
        <v>23</v>
      </c>
      <c r="N306">
        <v>42</v>
      </c>
      <c r="O306" t="s">
        <v>30</v>
      </c>
      <c r="P306" t="s">
        <v>65</v>
      </c>
      <c r="Q306" t="s">
        <v>66</v>
      </c>
      <c r="R306" s="7">
        <v>2.5</v>
      </c>
      <c r="S306" s="7">
        <v>2.5</v>
      </c>
      <c r="T306" t="s">
        <v>29</v>
      </c>
    </row>
    <row r="307" spans="1:20" x14ac:dyDescent="0.3">
      <c r="A307">
        <v>306</v>
      </c>
      <c r="B307" s="1">
        <v>44927</v>
      </c>
      <c r="C307">
        <v>2023</v>
      </c>
      <c r="D307">
        <v>1</v>
      </c>
      <c r="E307" t="s">
        <v>20</v>
      </c>
      <c r="F307">
        <v>1</v>
      </c>
      <c r="G307" t="s">
        <v>21</v>
      </c>
      <c r="H307" s="2">
        <v>46203.689120370371</v>
      </c>
      <c r="I307">
        <v>14</v>
      </c>
      <c r="J307" t="s">
        <v>120</v>
      </c>
      <c r="K307" s="8">
        <v>2</v>
      </c>
      <c r="L307">
        <v>8</v>
      </c>
      <c r="M307" t="s">
        <v>64</v>
      </c>
      <c r="N307">
        <v>30</v>
      </c>
      <c r="O307" t="s">
        <v>24</v>
      </c>
      <c r="P307" t="s">
        <v>25</v>
      </c>
      <c r="Q307" t="s">
        <v>119</v>
      </c>
      <c r="R307" s="7">
        <v>3</v>
      </c>
      <c r="S307" s="7">
        <v>6</v>
      </c>
      <c r="T307" t="s">
        <v>29</v>
      </c>
    </row>
    <row r="308" spans="1:20" x14ac:dyDescent="0.3">
      <c r="A308">
        <v>307</v>
      </c>
      <c r="B308" s="1">
        <v>44927</v>
      </c>
      <c r="C308">
        <v>2023</v>
      </c>
      <c r="D308">
        <v>1</v>
      </c>
      <c r="E308" t="s">
        <v>20</v>
      </c>
      <c r="F308">
        <v>1</v>
      </c>
      <c r="G308" t="s">
        <v>21</v>
      </c>
      <c r="H308" s="2">
        <v>46203.689375000002</v>
      </c>
      <c r="I308">
        <v>14</v>
      </c>
      <c r="J308" t="s">
        <v>120</v>
      </c>
      <c r="K308" s="8">
        <v>2</v>
      </c>
      <c r="L308">
        <v>5</v>
      </c>
      <c r="M308" t="s">
        <v>23</v>
      </c>
      <c r="N308">
        <v>41</v>
      </c>
      <c r="O308" t="s">
        <v>24</v>
      </c>
      <c r="P308" t="s">
        <v>48</v>
      </c>
      <c r="Q308" t="s">
        <v>105</v>
      </c>
      <c r="R308" s="7">
        <v>4.25</v>
      </c>
      <c r="S308" s="7">
        <v>8.5</v>
      </c>
      <c r="T308" t="s">
        <v>29</v>
      </c>
    </row>
    <row r="309" spans="1:20" x14ac:dyDescent="0.3">
      <c r="A309">
        <v>308</v>
      </c>
      <c r="B309" s="1">
        <v>44927</v>
      </c>
      <c r="C309">
        <v>2023</v>
      </c>
      <c r="D309">
        <v>1</v>
      </c>
      <c r="E309" t="s">
        <v>20</v>
      </c>
      <c r="F309">
        <v>1</v>
      </c>
      <c r="G309" t="s">
        <v>21</v>
      </c>
      <c r="H309" s="2">
        <v>46203.689513888887</v>
      </c>
      <c r="I309">
        <v>14</v>
      </c>
      <c r="J309" t="s">
        <v>120</v>
      </c>
      <c r="K309" s="8">
        <v>2</v>
      </c>
      <c r="L309">
        <v>8</v>
      </c>
      <c r="M309" t="s">
        <v>64</v>
      </c>
      <c r="N309">
        <v>39</v>
      </c>
      <c r="O309" t="s">
        <v>24</v>
      </c>
      <c r="P309" t="s">
        <v>48</v>
      </c>
      <c r="Q309" t="s">
        <v>49</v>
      </c>
      <c r="R309" s="7">
        <v>4.25</v>
      </c>
      <c r="S309" s="7">
        <v>8.5</v>
      </c>
      <c r="T309" t="s">
        <v>29</v>
      </c>
    </row>
    <row r="310" spans="1:20" x14ac:dyDescent="0.3">
      <c r="A310">
        <v>309</v>
      </c>
      <c r="B310" s="1">
        <v>44927</v>
      </c>
      <c r="C310">
        <v>2023</v>
      </c>
      <c r="D310">
        <v>1</v>
      </c>
      <c r="E310" t="s">
        <v>20</v>
      </c>
      <c r="F310">
        <v>1</v>
      </c>
      <c r="G310" t="s">
        <v>21</v>
      </c>
      <c r="H310" s="2">
        <v>46203.691516203704</v>
      </c>
      <c r="I310">
        <v>14</v>
      </c>
      <c r="J310" t="s">
        <v>120</v>
      </c>
      <c r="K310" s="8">
        <v>1</v>
      </c>
      <c r="L310">
        <v>3</v>
      </c>
      <c r="M310" t="s">
        <v>114</v>
      </c>
      <c r="N310">
        <v>55</v>
      </c>
      <c r="O310" t="s">
        <v>30</v>
      </c>
      <c r="P310" t="s">
        <v>31</v>
      </c>
      <c r="Q310" t="s">
        <v>88</v>
      </c>
      <c r="R310" s="7">
        <v>4</v>
      </c>
      <c r="S310" s="7">
        <v>4</v>
      </c>
      <c r="T310" t="s">
        <v>29</v>
      </c>
    </row>
    <row r="311" spans="1:20" x14ac:dyDescent="0.3">
      <c r="A311">
        <v>310</v>
      </c>
      <c r="B311" s="1">
        <v>44927</v>
      </c>
      <c r="C311">
        <v>2023</v>
      </c>
      <c r="D311">
        <v>1</v>
      </c>
      <c r="E311" t="s">
        <v>20</v>
      </c>
      <c r="F311">
        <v>1</v>
      </c>
      <c r="G311" t="s">
        <v>21</v>
      </c>
      <c r="H311" s="2">
        <v>46203.691932870373</v>
      </c>
      <c r="I311">
        <v>14</v>
      </c>
      <c r="J311" t="s">
        <v>120</v>
      </c>
      <c r="K311" s="8">
        <v>2</v>
      </c>
      <c r="L311">
        <v>3</v>
      </c>
      <c r="M311" t="s">
        <v>114</v>
      </c>
      <c r="N311">
        <v>30</v>
      </c>
      <c r="O311" t="s">
        <v>24</v>
      </c>
      <c r="P311" t="s">
        <v>25</v>
      </c>
      <c r="Q311" t="s">
        <v>119</v>
      </c>
      <c r="R311" s="7">
        <v>3</v>
      </c>
      <c r="S311" s="7">
        <v>6</v>
      </c>
      <c r="T311" t="s">
        <v>29</v>
      </c>
    </row>
    <row r="312" spans="1:20" x14ac:dyDescent="0.3">
      <c r="A312">
        <v>311</v>
      </c>
      <c r="B312" s="1">
        <v>44927</v>
      </c>
      <c r="C312">
        <v>2023</v>
      </c>
      <c r="D312">
        <v>1</v>
      </c>
      <c r="E312" t="s">
        <v>20</v>
      </c>
      <c r="F312">
        <v>1</v>
      </c>
      <c r="G312" t="s">
        <v>21</v>
      </c>
      <c r="H312" s="2">
        <v>46203.692071759258</v>
      </c>
      <c r="I312">
        <v>14</v>
      </c>
      <c r="J312" t="s">
        <v>120</v>
      </c>
      <c r="K312" s="8">
        <v>1</v>
      </c>
      <c r="L312">
        <v>5</v>
      </c>
      <c r="M312" t="s">
        <v>23</v>
      </c>
      <c r="N312">
        <v>57</v>
      </c>
      <c r="O312" t="s">
        <v>30</v>
      </c>
      <c r="P312" t="s">
        <v>31</v>
      </c>
      <c r="Q312" t="s">
        <v>32</v>
      </c>
      <c r="R312" s="7">
        <v>3.1</v>
      </c>
      <c r="S312" s="7">
        <v>3.1</v>
      </c>
      <c r="T312" t="s">
        <v>29</v>
      </c>
    </row>
    <row r="313" spans="1:20" x14ac:dyDescent="0.3">
      <c r="A313">
        <v>312</v>
      </c>
      <c r="B313" s="1">
        <v>44927</v>
      </c>
      <c r="C313">
        <v>2023</v>
      </c>
      <c r="D313">
        <v>1</v>
      </c>
      <c r="E313" t="s">
        <v>20</v>
      </c>
      <c r="F313">
        <v>1</v>
      </c>
      <c r="G313" t="s">
        <v>21</v>
      </c>
      <c r="H313" s="2">
        <v>46203.692916666667</v>
      </c>
      <c r="I313">
        <v>14</v>
      </c>
      <c r="J313" t="s">
        <v>120</v>
      </c>
      <c r="K313" s="8">
        <v>1</v>
      </c>
      <c r="L313">
        <v>5</v>
      </c>
      <c r="M313" t="s">
        <v>23</v>
      </c>
      <c r="N313">
        <v>44</v>
      </c>
      <c r="O313" t="s">
        <v>30</v>
      </c>
      <c r="P313" t="s">
        <v>65</v>
      </c>
      <c r="Q313" t="s">
        <v>92</v>
      </c>
      <c r="R313" s="7">
        <v>2.5</v>
      </c>
      <c r="S313" s="7">
        <v>2.5</v>
      </c>
      <c r="T313" t="s">
        <v>29</v>
      </c>
    </row>
    <row r="314" spans="1:20" x14ac:dyDescent="0.3">
      <c r="A314">
        <v>313</v>
      </c>
      <c r="B314" s="1">
        <v>44927</v>
      </c>
      <c r="C314">
        <v>2023</v>
      </c>
      <c r="D314">
        <v>1</v>
      </c>
      <c r="E314" t="s">
        <v>20</v>
      </c>
      <c r="F314">
        <v>1</v>
      </c>
      <c r="G314" t="s">
        <v>21</v>
      </c>
      <c r="H314" s="2">
        <v>46203.693819444445</v>
      </c>
      <c r="I314">
        <v>14</v>
      </c>
      <c r="J314" t="s">
        <v>120</v>
      </c>
      <c r="K314" s="8">
        <v>1</v>
      </c>
      <c r="L314">
        <v>5</v>
      </c>
      <c r="M314" t="s">
        <v>23</v>
      </c>
      <c r="N314">
        <v>87</v>
      </c>
      <c r="O314" t="s">
        <v>24</v>
      </c>
      <c r="P314" t="s">
        <v>48</v>
      </c>
      <c r="Q314" t="s">
        <v>59</v>
      </c>
      <c r="R314" s="7">
        <v>3</v>
      </c>
      <c r="S314" s="7">
        <v>3</v>
      </c>
      <c r="T314" t="s">
        <v>29</v>
      </c>
    </row>
    <row r="315" spans="1:20" x14ac:dyDescent="0.3">
      <c r="A315">
        <v>314</v>
      </c>
      <c r="B315" s="1">
        <v>44927</v>
      </c>
      <c r="C315">
        <v>2023</v>
      </c>
      <c r="D315">
        <v>1</v>
      </c>
      <c r="E315" t="s">
        <v>20</v>
      </c>
      <c r="F315">
        <v>1</v>
      </c>
      <c r="G315" t="s">
        <v>21</v>
      </c>
      <c r="H315" s="2">
        <v>46203.694305555553</v>
      </c>
      <c r="I315">
        <v>14</v>
      </c>
      <c r="J315" t="s">
        <v>120</v>
      </c>
      <c r="K315" s="8">
        <v>2</v>
      </c>
      <c r="L315">
        <v>8</v>
      </c>
      <c r="M315" t="s">
        <v>64</v>
      </c>
      <c r="N315">
        <v>34</v>
      </c>
      <c r="O315" t="s">
        <v>24</v>
      </c>
      <c r="P315" t="s">
        <v>99</v>
      </c>
      <c r="Q315" t="s">
        <v>100</v>
      </c>
      <c r="R315" s="7">
        <v>2.4500000000000002</v>
      </c>
      <c r="S315" s="7">
        <v>4.9000000000000004</v>
      </c>
      <c r="T315" t="s">
        <v>29</v>
      </c>
    </row>
    <row r="316" spans="1:20" x14ac:dyDescent="0.3">
      <c r="A316">
        <v>315</v>
      </c>
      <c r="B316" s="1">
        <v>44927</v>
      </c>
      <c r="C316">
        <v>2023</v>
      </c>
      <c r="D316">
        <v>1</v>
      </c>
      <c r="E316" t="s">
        <v>20</v>
      </c>
      <c r="F316">
        <v>1</v>
      </c>
      <c r="G316" t="s">
        <v>21</v>
      </c>
      <c r="H316" s="2">
        <v>46203.696284722224</v>
      </c>
      <c r="I316">
        <v>14</v>
      </c>
      <c r="J316" t="s">
        <v>120</v>
      </c>
      <c r="K316" s="8">
        <v>2</v>
      </c>
      <c r="L316">
        <v>5</v>
      </c>
      <c r="M316" t="s">
        <v>23</v>
      </c>
      <c r="N316">
        <v>61</v>
      </c>
      <c r="O316" t="s">
        <v>35</v>
      </c>
      <c r="P316" t="s">
        <v>36</v>
      </c>
      <c r="Q316" t="s">
        <v>68</v>
      </c>
      <c r="R316" s="7">
        <v>4.75</v>
      </c>
      <c r="S316" s="7">
        <v>9.5</v>
      </c>
      <c r="T316" t="s">
        <v>29</v>
      </c>
    </row>
    <row r="317" spans="1:20" x14ac:dyDescent="0.3">
      <c r="A317">
        <v>316</v>
      </c>
      <c r="B317" s="1">
        <v>44927</v>
      </c>
      <c r="C317">
        <v>2023</v>
      </c>
      <c r="D317">
        <v>1</v>
      </c>
      <c r="E317" t="s">
        <v>20</v>
      </c>
      <c r="F317">
        <v>1</v>
      </c>
      <c r="G317" t="s">
        <v>21</v>
      </c>
      <c r="H317" s="2">
        <v>46203.69667824074</v>
      </c>
      <c r="I317">
        <v>14</v>
      </c>
      <c r="J317" t="s">
        <v>120</v>
      </c>
      <c r="K317" s="8">
        <v>2</v>
      </c>
      <c r="L317">
        <v>3</v>
      </c>
      <c r="M317" t="s">
        <v>114</v>
      </c>
      <c r="N317">
        <v>50</v>
      </c>
      <c r="O317" t="s">
        <v>30</v>
      </c>
      <c r="P317" t="s">
        <v>57</v>
      </c>
      <c r="Q317" t="s">
        <v>108</v>
      </c>
      <c r="R317" s="7">
        <v>2.5</v>
      </c>
      <c r="S317" s="7">
        <v>5</v>
      </c>
      <c r="T317" t="s">
        <v>29</v>
      </c>
    </row>
    <row r="318" spans="1:20" x14ac:dyDescent="0.3">
      <c r="A318">
        <v>317</v>
      </c>
      <c r="B318" s="1">
        <v>44927</v>
      </c>
      <c r="C318">
        <v>2023</v>
      </c>
      <c r="D318">
        <v>1</v>
      </c>
      <c r="E318" t="s">
        <v>20</v>
      </c>
      <c r="F318">
        <v>1</v>
      </c>
      <c r="G318" t="s">
        <v>21</v>
      </c>
      <c r="H318" s="2">
        <v>46203.698275462964</v>
      </c>
      <c r="I318">
        <v>14</v>
      </c>
      <c r="J318" t="s">
        <v>120</v>
      </c>
      <c r="K318" s="8">
        <v>1</v>
      </c>
      <c r="L318">
        <v>3</v>
      </c>
      <c r="M318" t="s">
        <v>114</v>
      </c>
      <c r="N318">
        <v>47</v>
      </c>
      <c r="O318" t="s">
        <v>30</v>
      </c>
      <c r="P318" t="s">
        <v>60</v>
      </c>
      <c r="Q318" t="s">
        <v>61</v>
      </c>
      <c r="R318" s="7">
        <v>3</v>
      </c>
      <c r="S318" s="7">
        <v>3</v>
      </c>
      <c r="T318" t="s">
        <v>29</v>
      </c>
    </row>
    <row r="319" spans="1:20" x14ac:dyDescent="0.3">
      <c r="A319">
        <v>318</v>
      </c>
      <c r="B319" s="1">
        <v>44927</v>
      </c>
      <c r="C319">
        <v>2023</v>
      </c>
      <c r="D319">
        <v>1</v>
      </c>
      <c r="E319" t="s">
        <v>20</v>
      </c>
      <c r="F319">
        <v>1</v>
      </c>
      <c r="G319" t="s">
        <v>21</v>
      </c>
      <c r="H319" s="2">
        <v>46203.69871527778</v>
      </c>
      <c r="I319">
        <v>14</v>
      </c>
      <c r="J319" t="s">
        <v>120</v>
      </c>
      <c r="K319" s="8">
        <v>1</v>
      </c>
      <c r="L319">
        <v>8</v>
      </c>
      <c r="M319" t="s">
        <v>64</v>
      </c>
      <c r="N319">
        <v>48</v>
      </c>
      <c r="O319" t="s">
        <v>30</v>
      </c>
      <c r="P319" t="s">
        <v>57</v>
      </c>
      <c r="Q319" t="s">
        <v>93</v>
      </c>
      <c r="R319" s="7">
        <v>2.5</v>
      </c>
      <c r="S319" s="7">
        <v>2.5</v>
      </c>
      <c r="T319" t="s">
        <v>29</v>
      </c>
    </row>
    <row r="320" spans="1:20" x14ac:dyDescent="0.3">
      <c r="A320">
        <v>319</v>
      </c>
      <c r="B320" s="1">
        <v>44927</v>
      </c>
      <c r="C320">
        <v>2023</v>
      </c>
      <c r="D320">
        <v>1</v>
      </c>
      <c r="E320" t="s">
        <v>20</v>
      </c>
      <c r="F320">
        <v>1</v>
      </c>
      <c r="G320" t="s">
        <v>21</v>
      </c>
      <c r="H320" s="2">
        <v>46203.699641203704</v>
      </c>
      <c r="I320">
        <v>14</v>
      </c>
      <c r="J320" t="s">
        <v>120</v>
      </c>
      <c r="K320" s="8">
        <v>1</v>
      </c>
      <c r="L320">
        <v>8</v>
      </c>
      <c r="M320" t="s">
        <v>64</v>
      </c>
      <c r="N320">
        <v>24</v>
      </c>
      <c r="O320" t="s">
        <v>24</v>
      </c>
      <c r="P320" t="s">
        <v>40</v>
      </c>
      <c r="Q320" t="s">
        <v>89</v>
      </c>
      <c r="R320" s="7">
        <v>3</v>
      </c>
      <c r="S320" s="7">
        <v>3</v>
      </c>
      <c r="T320" t="s">
        <v>29</v>
      </c>
    </row>
    <row r="321" spans="1:20" x14ac:dyDescent="0.3">
      <c r="A321">
        <v>320</v>
      </c>
      <c r="B321" s="1">
        <v>44927</v>
      </c>
      <c r="C321">
        <v>2023</v>
      </c>
      <c r="D321">
        <v>1</v>
      </c>
      <c r="E321" t="s">
        <v>20</v>
      </c>
      <c r="F321">
        <v>1</v>
      </c>
      <c r="G321" t="s">
        <v>21</v>
      </c>
      <c r="H321" s="2">
        <v>46203.699641203704</v>
      </c>
      <c r="I321">
        <v>14</v>
      </c>
      <c r="J321" t="s">
        <v>120</v>
      </c>
      <c r="K321" s="8">
        <v>1</v>
      </c>
      <c r="L321">
        <v>8</v>
      </c>
      <c r="M321" t="s">
        <v>64</v>
      </c>
      <c r="N321">
        <v>75</v>
      </c>
      <c r="O321" t="s">
        <v>43</v>
      </c>
      <c r="P321" t="s">
        <v>78</v>
      </c>
      <c r="Q321" t="s">
        <v>115</v>
      </c>
      <c r="R321" s="7">
        <v>3.5</v>
      </c>
      <c r="S321" s="7">
        <v>3.5</v>
      </c>
      <c r="T321" t="s">
        <v>29</v>
      </c>
    </row>
    <row r="322" spans="1:20" x14ac:dyDescent="0.3">
      <c r="A322">
        <v>321</v>
      </c>
      <c r="B322" s="1">
        <v>44927</v>
      </c>
      <c r="C322">
        <v>2023</v>
      </c>
      <c r="D322">
        <v>1</v>
      </c>
      <c r="E322" t="s">
        <v>20</v>
      </c>
      <c r="F322">
        <v>1</v>
      </c>
      <c r="G322" t="s">
        <v>21</v>
      </c>
      <c r="H322" s="2">
        <v>46203.701261574075</v>
      </c>
      <c r="I322">
        <v>14</v>
      </c>
      <c r="J322" t="s">
        <v>120</v>
      </c>
      <c r="K322" s="8">
        <v>2</v>
      </c>
      <c r="L322">
        <v>8</v>
      </c>
      <c r="M322" t="s">
        <v>64</v>
      </c>
      <c r="N322">
        <v>51</v>
      </c>
      <c r="O322" t="s">
        <v>30</v>
      </c>
      <c r="P322" t="s">
        <v>57</v>
      </c>
      <c r="Q322" t="s">
        <v>58</v>
      </c>
      <c r="R322" s="7">
        <v>3</v>
      </c>
      <c r="S322" s="7">
        <v>6</v>
      </c>
      <c r="T322" t="s">
        <v>29</v>
      </c>
    </row>
    <row r="323" spans="1:20" x14ac:dyDescent="0.3">
      <c r="A323">
        <v>322</v>
      </c>
      <c r="B323" s="1">
        <v>44927</v>
      </c>
      <c r="C323">
        <v>2023</v>
      </c>
      <c r="D323">
        <v>1</v>
      </c>
      <c r="E323" t="s">
        <v>20</v>
      </c>
      <c r="F323">
        <v>1</v>
      </c>
      <c r="G323" t="s">
        <v>21</v>
      </c>
      <c r="H323" s="2">
        <v>46203.702303240738</v>
      </c>
      <c r="I323">
        <v>14</v>
      </c>
      <c r="J323" t="s">
        <v>120</v>
      </c>
      <c r="K323" s="8">
        <v>2</v>
      </c>
      <c r="L323">
        <v>5</v>
      </c>
      <c r="M323" t="s">
        <v>23</v>
      </c>
      <c r="N323">
        <v>43</v>
      </c>
      <c r="O323" t="s">
        <v>30</v>
      </c>
      <c r="P323" t="s">
        <v>65</v>
      </c>
      <c r="Q323" t="s">
        <v>75</v>
      </c>
      <c r="R323" s="7">
        <v>3</v>
      </c>
      <c r="S323" s="7">
        <v>6</v>
      </c>
      <c r="T323" t="s">
        <v>29</v>
      </c>
    </row>
    <row r="324" spans="1:20" x14ac:dyDescent="0.3">
      <c r="A324">
        <v>323</v>
      </c>
      <c r="B324" s="1">
        <v>44927</v>
      </c>
      <c r="C324">
        <v>2023</v>
      </c>
      <c r="D324">
        <v>1</v>
      </c>
      <c r="E324" t="s">
        <v>20</v>
      </c>
      <c r="F324">
        <v>1</v>
      </c>
      <c r="G324" t="s">
        <v>21</v>
      </c>
      <c r="H324" s="2">
        <v>46203.705254629633</v>
      </c>
      <c r="I324">
        <v>14</v>
      </c>
      <c r="J324" t="s">
        <v>120</v>
      </c>
      <c r="K324" s="8">
        <v>2</v>
      </c>
      <c r="L324">
        <v>3</v>
      </c>
      <c r="M324" t="s">
        <v>114</v>
      </c>
      <c r="N324">
        <v>34</v>
      </c>
      <c r="O324" t="s">
        <v>24</v>
      </c>
      <c r="P324" t="s">
        <v>99</v>
      </c>
      <c r="Q324" t="s">
        <v>100</v>
      </c>
      <c r="R324" s="7">
        <v>2.4500000000000002</v>
      </c>
      <c r="S324" s="7">
        <v>4.9000000000000004</v>
      </c>
      <c r="T324" t="s">
        <v>29</v>
      </c>
    </row>
    <row r="325" spans="1:20" x14ac:dyDescent="0.3">
      <c r="A325">
        <v>324</v>
      </c>
      <c r="B325" s="1">
        <v>44927</v>
      </c>
      <c r="C325">
        <v>2023</v>
      </c>
      <c r="D325">
        <v>1</v>
      </c>
      <c r="E325" t="s">
        <v>20</v>
      </c>
      <c r="F325">
        <v>1</v>
      </c>
      <c r="G325" t="s">
        <v>21</v>
      </c>
      <c r="H325" s="2">
        <v>46203.707025462965</v>
      </c>
      <c r="I325">
        <v>14</v>
      </c>
      <c r="J325" t="s">
        <v>120</v>
      </c>
      <c r="K325" s="8">
        <v>2</v>
      </c>
      <c r="L325">
        <v>8</v>
      </c>
      <c r="M325" t="s">
        <v>64</v>
      </c>
      <c r="N325">
        <v>30</v>
      </c>
      <c r="O325" t="s">
        <v>24</v>
      </c>
      <c r="P325" t="s">
        <v>25</v>
      </c>
      <c r="Q325" t="s">
        <v>119</v>
      </c>
      <c r="R325" s="7">
        <v>3</v>
      </c>
      <c r="S325" s="7">
        <v>6</v>
      </c>
      <c r="T325" t="s">
        <v>29</v>
      </c>
    </row>
    <row r="326" spans="1:20" x14ac:dyDescent="0.3">
      <c r="A326">
        <v>325</v>
      </c>
      <c r="B326" s="1">
        <v>44927</v>
      </c>
      <c r="C326">
        <v>2023</v>
      </c>
      <c r="D326">
        <v>1</v>
      </c>
      <c r="E326" t="s">
        <v>20</v>
      </c>
      <c r="F326">
        <v>1</v>
      </c>
      <c r="G326" t="s">
        <v>21</v>
      </c>
      <c r="H326" s="2">
        <v>46203.707349537035</v>
      </c>
      <c r="I326">
        <v>14</v>
      </c>
      <c r="J326" t="s">
        <v>120</v>
      </c>
      <c r="K326" s="8">
        <v>1</v>
      </c>
      <c r="L326">
        <v>3</v>
      </c>
      <c r="M326" t="s">
        <v>114</v>
      </c>
      <c r="N326">
        <v>43</v>
      </c>
      <c r="O326" t="s">
        <v>30</v>
      </c>
      <c r="P326" t="s">
        <v>65</v>
      </c>
      <c r="Q326" t="s">
        <v>75</v>
      </c>
      <c r="R326" s="7">
        <v>3</v>
      </c>
      <c r="S326" s="7">
        <v>3</v>
      </c>
      <c r="T326" t="s">
        <v>29</v>
      </c>
    </row>
    <row r="327" spans="1:20" x14ac:dyDescent="0.3">
      <c r="A327">
        <v>326</v>
      </c>
      <c r="B327" s="1">
        <v>44927</v>
      </c>
      <c r="C327">
        <v>2023</v>
      </c>
      <c r="D327">
        <v>1</v>
      </c>
      <c r="E327" t="s">
        <v>20</v>
      </c>
      <c r="F327">
        <v>1</v>
      </c>
      <c r="G327" t="s">
        <v>21</v>
      </c>
      <c r="H327" s="2">
        <v>46203.709768518522</v>
      </c>
      <c r="I327">
        <v>15</v>
      </c>
      <c r="J327" t="s">
        <v>120</v>
      </c>
      <c r="K327" s="8">
        <v>2</v>
      </c>
      <c r="L327">
        <v>3</v>
      </c>
      <c r="M327" t="s">
        <v>114</v>
      </c>
      <c r="N327">
        <v>39</v>
      </c>
      <c r="O327" t="s">
        <v>24</v>
      </c>
      <c r="P327" t="s">
        <v>48</v>
      </c>
      <c r="Q327" t="s">
        <v>49</v>
      </c>
      <c r="R327" s="7">
        <v>4.25</v>
      </c>
      <c r="S327" s="7">
        <v>8.5</v>
      </c>
      <c r="T327" t="s">
        <v>29</v>
      </c>
    </row>
    <row r="328" spans="1:20" x14ac:dyDescent="0.3">
      <c r="A328">
        <v>327</v>
      </c>
      <c r="B328" s="1">
        <v>44927</v>
      </c>
      <c r="C328">
        <v>2023</v>
      </c>
      <c r="D328">
        <v>1</v>
      </c>
      <c r="E328" t="s">
        <v>20</v>
      </c>
      <c r="F328">
        <v>1</v>
      </c>
      <c r="G328" t="s">
        <v>21</v>
      </c>
      <c r="H328" s="2">
        <v>46203.710046296299</v>
      </c>
      <c r="I328">
        <v>15</v>
      </c>
      <c r="J328" t="s">
        <v>120</v>
      </c>
      <c r="K328" s="8">
        <v>1</v>
      </c>
      <c r="L328">
        <v>8</v>
      </c>
      <c r="M328" t="s">
        <v>64</v>
      </c>
      <c r="N328">
        <v>38</v>
      </c>
      <c r="O328" t="s">
        <v>24</v>
      </c>
      <c r="P328" t="s">
        <v>48</v>
      </c>
      <c r="Q328" t="s">
        <v>81</v>
      </c>
      <c r="R328" s="7">
        <v>3.75</v>
      </c>
      <c r="S328" s="7">
        <v>3.75</v>
      </c>
      <c r="T328" t="s">
        <v>29</v>
      </c>
    </row>
    <row r="329" spans="1:20" x14ac:dyDescent="0.3">
      <c r="A329">
        <v>328</v>
      </c>
      <c r="B329" s="1">
        <v>44927</v>
      </c>
      <c r="C329">
        <v>2023</v>
      </c>
      <c r="D329">
        <v>1</v>
      </c>
      <c r="E329" t="s">
        <v>20</v>
      </c>
      <c r="F329">
        <v>1</v>
      </c>
      <c r="G329" t="s">
        <v>21</v>
      </c>
      <c r="H329" s="2">
        <v>46203.712812500002</v>
      </c>
      <c r="I329">
        <v>15</v>
      </c>
      <c r="J329" t="s">
        <v>120</v>
      </c>
      <c r="K329" s="8">
        <v>2</v>
      </c>
      <c r="L329">
        <v>5</v>
      </c>
      <c r="M329" t="s">
        <v>23</v>
      </c>
      <c r="N329">
        <v>25</v>
      </c>
      <c r="O329" t="s">
        <v>24</v>
      </c>
      <c r="P329" t="s">
        <v>82</v>
      </c>
      <c r="Q329" t="s">
        <v>96</v>
      </c>
      <c r="R329" s="7">
        <v>2.2000000000000002</v>
      </c>
      <c r="S329" s="7">
        <v>4.4000000000000004</v>
      </c>
      <c r="T329" t="s">
        <v>29</v>
      </c>
    </row>
    <row r="330" spans="1:20" x14ac:dyDescent="0.3">
      <c r="A330">
        <v>329</v>
      </c>
      <c r="B330" s="1">
        <v>44927</v>
      </c>
      <c r="C330">
        <v>2023</v>
      </c>
      <c r="D330">
        <v>1</v>
      </c>
      <c r="E330" t="s">
        <v>20</v>
      </c>
      <c r="F330">
        <v>1</v>
      </c>
      <c r="G330" t="s">
        <v>21</v>
      </c>
      <c r="H330" s="2">
        <v>46203.714212962965</v>
      </c>
      <c r="I330">
        <v>15</v>
      </c>
      <c r="J330" t="s">
        <v>120</v>
      </c>
      <c r="K330" s="8">
        <v>2</v>
      </c>
      <c r="L330">
        <v>3</v>
      </c>
      <c r="M330" t="s">
        <v>114</v>
      </c>
      <c r="N330">
        <v>43</v>
      </c>
      <c r="O330" t="s">
        <v>30</v>
      </c>
      <c r="P330" t="s">
        <v>65</v>
      </c>
      <c r="Q330" t="s">
        <v>75</v>
      </c>
      <c r="R330" s="7">
        <v>3</v>
      </c>
      <c r="S330" s="7">
        <v>6</v>
      </c>
      <c r="T330" t="s">
        <v>29</v>
      </c>
    </row>
    <row r="331" spans="1:20" x14ac:dyDescent="0.3">
      <c r="A331">
        <v>330</v>
      </c>
      <c r="B331" s="1">
        <v>44927</v>
      </c>
      <c r="C331">
        <v>2023</v>
      </c>
      <c r="D331">
        <v>1</v>
      </c>
      <c r="E331" t="s">
        <v>20</v>
      </c>
      <c r="F331">
        <v>1</v>
      </c>
      <c r="G331" t="s">
        <v>21</v>
      </c>
      <c r="H331" s="2">
        <v>46203.715011574073</v>
      </c>
      <c r="I331">
        <v>15</v>
      </c>
      <c r="J331" t="s">
        <v>120</v>
      </c>
      <c r="K331" s="8">
        <v>1</v>
      </c>
      <c r="L331">
        <v>3</v>
      </c>
      <c r="M331" t="s">
        <v>114</v>
      </c>
      <c r="N331">
        <v>22</v>
      </c>
      <c r="O331" t="s">
        <v>24</v>
      </c>
      <c r="P331" t="s">
        <v>40</v>
      </c>
      <c r="Q331" t="s">
        <v>41</v>
      </c>
      <c r="R331" s="7">
        <v>2</v>
      </c>
      <c r="S331" s="7">
        <v>2</v>
      </c>
      <c r="T331" t="s">
        <v>29</v>
      </c>
    </row>
    <row r="332" spans="1:20" x14ac:dyDescent="0.3">
      <c r="A332">
        <v>331</v>
      </c>
      <c r="B332" s="1">
        <v>44927</v>
      </c>
      <c r="C332">
        <v>2023</v>
      </c>
      <c r="D332">
        <v>1</v>
      </c>
      <c r="E332" t="s">
        <v>20</v>
      </c>
      <c r="F332">
        <v>1</v>
      </c>
      <c r="G332" t="s">
        <v>21</v>
      </c>
      <c r="H332" s="2">
        <v>46203.715208333335</v>
      </c>
      <c r="I332">
        <v>15</v>
      </c>
      <c r="J332" t="s">
        <v>120</v>
      </c>
      <c r="K332" s="8">
        <v>1</v>
      </c>
      <c r="L332">
        <v>8</v>
      </c>
      <c r="M332" t="s">
        <v>64</v>
      </c>
      <c r="N332">
        <v>61</v>
      </c>
      <c r="O332" t="s">
        <v>35</v>
      </c>
      <c r="P332" t="s">
        <v>36</v>
      </c>
      <c r="Q332" t="s">
        <v>68</v>
      </c>
      <c r="R332" s="7">
        <v>4.75</v>
      </c>
      <c r="S332" s="7">
        <v>4.75</v>
      </c>
      <c r="T332" t="s">
        <v>29</v>
      </c>
    </row>
    <row r="333" spans="1:20" x14ac:dyDescent="0.3">
      <c r="A333">
        <v>332</v>
      </c>
      <c r="B333" s="1">
        <v>44927</v>
      </c>
      <c r="C333">
        <v>2023</v>
      </c>
      <c r="D333">
        <v>1</v>
      </c>
      <c r="E333" t="s">
        <v>20</v>
      </c>
      <c r="F333">
        <v>1</v>
      </c>
      <c r="G333" t="s">
        <v>21</v>
      </c>
      <c r="H333" s="2">
        <v>46203.71539351852</v>
      </c>
      <c r="I333">
        <v>15</v>
      </c>
      <c r="J333" t="s">
        <v>120</v>
      </c>
      <c r="K333" s="8">
        <v>1</v>
      </c>
      <c r="L333">
        <v>5</v>
      </c>
      <c r="M333" t="s">
        <v>23</v>
      </c>
      <c r="N333">
        <v>40</v>
      </c>
      <c r="O333" t="s">
        <v>24</v>
      </c>
      <c r="P333" t="s">
        <v>48</v>
      </c>
      <c r="Q333" t="s">
        <v>74</v>
      </c>
      <c r="R333" s="7">
        <v>3.75</v>
      </c>
      <c r="S333" s="7">
        <v>3.75</v>
      </c>
      <c r="T333" t="s">
        <v>29</v>
      </c>
    </row>
    <row r="334" spans="1:20" x14ac:dyDescent="0.3">
      <c r="A334">
        <v>333</v>
      </c>
      <c r="B334" s="1">
        <v>44927</v>
      </c>
      <c r="C334">
        <v>2023</v>
      </c>
      <c r="D334">
        <v>1</v>
      </c>
      <c r="E334" t="s">
        <v>20</v>
      </c>
      <c r="F334">
        <v>1</v>
      </c>
      <c r="G334" t="s">
        <v>21</v>
      </c>
      <c r="H334" s="2">
        <v>46203.71539351852</v>
      </c>
      <c r="I334">
        <v>15</v>
      </c>
      <c r="J334" t="s">
        <v>120</v>
      </c>
      <c r="K334" s="8">
        <v>1</v>
      </c>
      <c r="L334">
        <v>5</v>
      </c>
      <c r="M334" t="s">
        <v>23</v>
      </c>
      <c r="N334">
        <v>75</v>
      </c>
      <c r="O334" t="s">
        <v>43</v>
      </c>
      <c r="P334" t="s">
        <v>78</v>
      </c>
      <c r="Q334" t="s">
        <v>115</v>
      </c>
      <c r="R334" s="7">
        <v>3.5</v>
      </c>
      <c r="S334" s="7">
        <v>3.5</v>
      </c>
      <c r="T334" t="s">
        <v>29</v>
      </c>
    </row>
    <row r="335" spans="1:20" x14ac:dyDescent="0.3">
      <c r="A335">
        <v>334</v>
      </c>
      <c r="B335" s="1">
        <v>44927</v>
      </c>
      <c r="C335">
        <v>2023</v>
      </c>
      <c r="D335">
        <v>1</v>
      </c>
      <c r="E335" t="s">
        <v>20</v>
      </c>
      <c r="F335">
        <v>1</v>
      </c>
      <c r="G335" t="s">
        <v>21</v>
      </c>
      <c r="H335" s="2">
        <v>46203.716921296298</v>
      </c>
      <c r="I335">
        <v>15</v>
      </c>
      <c r="J335" t="s">
        <v>120</v>
      </c>
      <c r="K335" s="8">
        <v>1</v>
      </c>
      <c r="L335">
        <v>3</v>
      </c>
      <c r="M335" t="s">
        <v>114</v>
      </c>
      <c r="N335">
        <v>24</v>
      </c>
      <c r="O335" t="s">
        <v>24</v>
      </c>
      <c r="P335" t="s">
        <v>40</v>
      </c>
      <c r="Q335" t="s">
        <v>89</v>
      </c>
      <c r="R335" s="7">
        <v>3</v>
      </c>
      <c r="S335" s="7">
        <v>3</v>
      </c>
      <c r="T335" t="s">
        <v>29</v>
      </c>
    </row>
    <row r="336" spans="1:20" x14ac:dyDescent="0.3">
      <c r="A336">
        <v>335</v>
      </c>
      <c r="B336" s="1">
        <v>44927</v>
      </c>
      <c r="C336">
        <v>2023</v>
      </c>
      <c r="D336">
        <v>1</v>
      </c>
      <c r="E336" t="s">
        <v>20</v>
      </c>
      <c r="F336">
        <v>1</v>
      </c>
      <c r="G336" t="s">
        <v>21</v>
      </c>
      <c r="H336" s="2">
        <v>46203.717291666668</v>
      </c>
      <c r="I336">
        <v>15</v>
      </c>
      <c r="J336" t="s">
        <v>120</v>
      </c>
      <c r="K336" s="8">
        <v>2</v>
      </c>
      <c r="L336">
        <v>3</v>
      </c>
      <c r="M336" t="s">
        <v>114</v>
      </c>
      <c r="N336">
        <v>52</v>
      </c>
      <c r="O336" t="s">
        <v>30</v>
      </c>
      <c r="P336" t="s">
        <v>31</v>
      </c>
      <c r="Q336" t="s">
        <v>118</v>
      </c>
      <c r="R336" s="7">
        <v>2.5</v>
      </c>
      <c r="S336" s="7">
        <v>5</v>
      </c>
      <c r="T336" t="s">
        <v>29</v>
      </c>
    </row>
    <row r="337" spans="1:20" x14ac:dyDescent="0.3">
      <c r="A337">
        <v>336</v>
      </c>
      <c r="B337" s="1">
        <v>44927</v>
      </c>
      <c r="C337">
        <v>2023</v>
      </c>
      <c r="D337">
        <v>1</v>
      </c>
      <c r="E337" t="s">
        <v>20</v>
      </c>
      <c r="F337">
        <v>1</v>
      </c>
      <c r="G337" t="s">
        <v>21</v>
      </c>
      <c r="H337" s="2">
        <v>46203.718275462961</v>
      </c>
      <c r="I337">
        <v>15</v>
      </c>
      <c r="J337" t="s">
        <v>120</v>
      </c>
      <c r="K337" s="8">
        <v>2</v>
      </c>
      <c r="L337">
        <v>3</v>
      </c>
      <c r="M337" t="s">
        <v>114</v>
      </c>
      <c r="N337">
        <v>26</v>
      </c>
      <c r="O337" t="s">
        <v>24</v>
      </c>
      <c r="P337" t="s">
        <v>82</v>
      </c>
      <c r="Q337" t="s">
        <v>83</v>
      </c>
      <c r="R337" s="7">
        <v>3</v>
      </c>
      <c r="S337" s="7">
        <v>6</v>
      </c>
      <c r="T337" t="s">
        <v>29</v>
      </c>
    </row>
    <row r="338" spans="1:20" x14ac:dyDescent="0.3">
      <c r="A338">
        <v>337</v>
      </c>
      <c r="B338" s="1">
        <v>44927</v>
      </c>
      <c r="C338">
        <v>2023</v>
      </c>
      <c r="D338">
        <v>1</v>
      </c>
      <c r="E338" t="s">
        <v>20</v>
      </c>
      <c r="F338">
        <v>1</v>
      </c>
      <c r="G338" t="s">
        <v>21</v>
      </c>
      <c r="H338" s="2">
        <v>46203.719872685186</v>
      </c>
      <c r="I338">
        <v>15</v>
      </c>
      <c r="J338" t="s">
        <v>120</v>
      </c>
      <c r="K338" s="8">
        <v>2</v>
      </c>
      <c r="L338">
        <v>5</v>
      </c>
      <c r="M338" t="s">
        <v>23</v>
      </c>
      <c r="N338">
        <v>38</v>
      </c>
      <c r="O338" t="s">
        <v>24</v>
      </c>
      <c r="P338" t="s">
        <v>48</v>
      </c>
      <c r="Q338" t="s">
        <v>81</v>
      </c>
      <c r="R338" s="7">
        <v>3.75</v>
      </c>
      <c r="S338" s="7">
        <v>7.5</v>
      </c>
      <c r="T338" t="s">
        <v>29</v>
      </c>
    </row>
    <row r="339" spans="1:20" x14ac:dyDescent="0.3">
      <c r="A339">
        <v>338</v>
      </c>
      <c r="B339" s="1">
        <v>44927</v>
      </c>
      <c r="C339">
        <v>2023</v>
      </c>
      <c r="D339">
        <v>1</v>
      </c>
      <c r="E339" t="s">
        <v>20</v>
      </c>
      <c r="F339">
        <v>1</v>
      </c>
      <c r="G339" t="s">
        <v>21</v>
      </c>
      <c r="H339" s="2">
        <v>46203.72148148148</v>
      </c>
      <c r="I339">
        <v>15</v>
      </c>
      <c r="J339" t="s">
        <v>120</v>
      </c>
      <c r="K339" s="8">
        <v>1</v>
      </c>
      <c r="L339">
        <v>3</v>
      </c>
      <c r="M339" t="s">
        <v>114</v>
      </c>
      <c r="N339">
        <v>61</v>
      </c>
      <c r="O339" t="s">
        <v>35</v>
      </c>
      <c r="P339" t="s">
        <v>36</v>
      </c>
      <c r="Q339" t="s">
        <v>68</v>
      </c>
      <c r="R339" s="7">
        <v>4.75</v>
      </c>
      <c r="S339" s="7">
        <v>4.75</v>
      </c>
      <c r="T339" t="s">
        <v>29</v>
      </c>
    </row>
    <row r="340" spans="1:20" x14ac:dyDescent="0.3">
      <c r="A340">
        <v>339</v>
      </c>
      <c r="B340" s="1">
        <v>44927</v>
      </c>
      <c r="C340">
        <v>2023</v>
      </c>
      <c r="D340">
        <v>1</v>
      </c>
      <c r="E340" t="s">
        <v>20</v>
      </c>
      <c r="F340">
        <v>1</v>
      </c>
      <c r="G340" t="s">
        <v>21</v>
      </c>
      <c r="H340" s="2">
        <v>46203.721921296295</v>
      </c>
      <c r="I340">
        <v>15</v>
      </c>
      <c r="J340" t="s">
        <v>120</v>
      </c>
      <c r="K340" s="8">
        <v>1</v>
      </c>
      <c r="L340">
        <v>3</v>
      </c>
      <c r="M340" t="s">
        <v>114</v>
      </c>
      <c r="N340">
        <v>29</v>
      </c>
      <c r="O340" t="s">
        <v>24</v>
      </c>
      <c r="P340" t="s">
        <v>25</v>
      </c>
      <c r="Q340" t="s">
        <v>85</v>
      </c>
      <c r="R340" s="7">
        <v>2.5</v>
      </c>
      <c r="S340" s="7">
        <v>2.5</v>
      </c>
      <c r="T340" t="s">
        <v>29</v>
      </c>
    </row>
    <row r="341" spans="1:20" x14ac:dyDescent="0.3">
      <c r="A341">
        <v>340</v>
      </c>
      <c r="B341" s="1">
        <v>44927</v>
      </c>
      <c r="C341">
        <v>2023</v>
      </c>
      <c r="D341">
        <v>1</v>
      </c>
      <c r="E341" t="s">
        <v>20</v>
      </c>
      <c r="F341">
        <v>1</v>
      </c>
      <c r="G341" t="s">
        <v>21</v>
      </c>
      <c r="H341" s="2">
        <v>46203.722974537035</v>
      </c>
      <c r="I341">
        <v>15</v>
      </c>
      <c r="J341" t="s">
        <v>120</v>
      </c>
      <c r="K341" s="8">
        <v>2</v>
      </c>
      <c r="L341">
        <v>8</v>
      </c>
      <c r="M341" t="s">
        <v>64</v>
      </c>
      <c r="N341">
        <v>30</v>
      </c>
      <c r="O341" t="s">
        <v>24</v>
      </c>
      <c r="P341" t="s">
        <v>25</v>
      </c>
      <c r="Q341" t="s">
        <v>119</v>
      </c>
      <c r="R341" s="7">
        <v>3</v>
      </c>
      <c r="S341" s="7">
        <v>6</v>
      </c>
      <c r="T341" t="s">
        <v>29</v>
      </c>
    </row>
    <row r="342" spans="1:20" x14ac:dyDescent="0.3">
      <c r="A342">
        <v>341</v>
      </c>
      <c r="B342" s="1">
        <v>44927</v>
      </c>
      <c r="C342">
        <v>2023</v>
      </c>
      <c r="D342">
        <v>1</v>
      </c>
      <c r="E342" t="s">
        <v>20</v>
      </c>
      <c r="F342">
        <v>1</v>
      </c>
      <c r="G342" t="s">
        <v>21</v>
      </c>
      <c r="H342" s="2">
        <v>46203.723738425928</v>
      </c>
      <c r="I342">
        <v>15</v>
      </c>
      <c r="J342" t="s">
        <v>120</v>
      </c>
      <c r="K342" s="8">
        <v>2</v>
      </c>
      <c r="L342">
        <v>3</v>
      </c>
      <c r="M342" t="s">
        <v>114</v>
      </c>
      <c r="N342">
        <v>39</v>
      </c>
      <c r="O342" t="s">
        <v>24</v>
      </c>
      <c r="P342" t="s">
        <v>48</v>
      </c>
      <c r="Q342" t="s">
        <v>49</v>
      </c>
      <c r="R342" s="7">
        <v>4.25</v>
      </c>
      <c r="S342" s="7">
        <v>8.5</v>
      </c>
      <c r="T342" t="s">
        <v>29</v>
      </c>
    </row>
    <row r="343" spans="1:20" x14ac:dyDescent="0.3">
      <c r="A343">
        <v>342</v>
      </c>
      <c r="B343" s="1">
        <v>44927</v>
      </c>
      <c r="C343">
        <v>2023</v>
      </c>
      <c r="D343">
        <v>1</v>
      </c>
      <c r="E343" t="s">
        <v>20</v>
      </c>
      <c r="F343">
        <v>1</v>
      </c>
      <c r="G343" t="s">
        <v>21</v>
      </c>
      <c r="H343" s="2">
        <v>46203.725011574075</v>
      </c>
      <c r="I343">
        <v>15</v>
      </c>
      <c r="J343" t="s">
        <v>120</v>
      </c>
      <c r="K343" s="8">
        <v>1</v>
      </c>
      <c r="L343">
        <v>8</v>
      </c>
      <c r="M343" t="s">
        <v>64</v>
      </c>
      <c r="N343">
        <v>26</v>
      </c>
      <c r="O343" t="s">
        <v>24</v>
      </c>
      <c r="P343" t="s">
        <v>82</v>
      </c>
      <c r="Q343" t="s">
        <v>83</v>
      </c>
      <c r="R343" s="7">
        <v>3</v>
      </c>
      <c r="S343" s="7">
        <v>3</v>
      </c>
      <c r="T343" t="s">
        <v>29</v>
      </c>
    </row>
    <row r="344" spans="1:20" x14ac:dyDescent="0.3">
      <c r="A344">
        <v>343</v>
      </c>
      <c r="B344" s="1">
        <v>44927</v>
      </c>
      <c r="C344">
        <v>2023</v>
      </c>
      <c r="D344">
        <v>1</v>
      </c>
      <c r="E344" t="s">
        <v>20</v>
      </c>
      <c r="F344">
        <v>1</v>
      </c>
      <c r="G344" t="s">
        <v>21</v>
      </c>
      <c r="H344" s="2">
        <v>46203.725798611114</v>
      </c>
      <c r="I344">
        <v>15</v>
      </c>
      <c r="J344" t="s">
        <v>120</v>
      </c>
      <c r="K344" s="8">
        <v>2</v>
      </c>
      <c r="L344">
        <v>5</v>
      </c>
      <c r="M344" t="s">
        <v>23</v>
      </c>
      <c r="N344">
        <v>50</v>
      </c>
      <c r="O344" t="s">
        <v>30</v>
      </c>
      <c r="P344" t="s">
        <v>57</v>
      </c>
      <c r="Q344" t="s">
        <v>108</v>
      </c>
      <c r="R344" s="7">
        <v>2.5</v>
      </c>
      <c r="S344" s="7">
        <v>5</v>
      </c>
      <c r="T344" t="s">
        <v>29</v>
      </c>
    </row>
    <row r="345" spans="1:20" x14ac:dyDescent="0.3">
      <c r="A345">
        <v>344</v>
      </c>
      <c r="B345" s="1">
        <v>44927</v>
      </c>
      <c r="C345">
        <v>2023</v>
      </c>
      <c r="D345">
        <v>1</v>
      </c>
      <c r="E345" t="s">
        <v>20</v>
      </c>
      <c r="F345">
        <v>1</v>
      </c>
      <c r="G345" t="s">
        <v>21</v>
      </c>
      <c r="H345" s="2">
        <v>46203.727210648147</v>
      </c>
      <c r="I345">
        <v>15</v>
      </c>
      <c r="J345" t="s">
        <v>120</v>
      </c>
      <c r="K345" s="8">
        <v>2</v>
      </c>
      <c r="L345">
        <v>3</v>
      </c>
      <c r="M345" t="s">
        <v>114</v>
      </c>
      <c r="N345">
        <v>58</v>
      </c>
      <c r="O345" t="s">
        <v>35</v>
      </c>
      <c r="P345" t="s">
        <v>36</v>
      </c>
      <c r="Q345" t="s">
        <v>51</v>
      </c>
      <c r="R345" s="7">
        <v>3.5</v>
      </c>
      <c r="S345" s="7">
        <v>7</v>
      </c>
      <c r="T345" t="s">
        <v>29</v>
      </c>
    </row>
    <row r="346" spans="1:20" x14ac:dyDescent="0.3">
      <c r="A346">
        <v>345</v>
      </c>
      <c r="B346" s="1">
        <v>44927</v>
      </c>
      <c r="C346">
        <v>2023</v>
      </c>
      <c r="D346">
        <v>1</v>
      </c>
      <c r="E346" t="s">
        <v>20</v>
      </c>
      <c r="F346">
        <v>1</v>
      </c>
      <c r="G346" t="s">
        <v>21</v>
      </c>
      <c r="H346" s="2">
        <v>46203.728113425925</v>
      </c>
      <c r="I346">
        <v>15</v>
      </c>
      <c r="J346" t="s">
        <v>120</v>
      </c>
      <c r="K346" s="8">
        <v>1</v>
      </c>
      <c r="L346">
        <v>3</v>
      </c>
      <c r="M346" t="s">
        <v>114</v>
      </c>
      <c r="N346">
        <v>58</v>
      </c>
      <c r="O346" t="s">
        <v>35</v>
      </c>
      <c r="P346" t="s">
        <v>36</v>
      </c>
      <c r="Q346" t="s">
        <v>51</v>
      </c>
      <c r="R346" s="7">
        <v>3.5</v>
      </c>
      <c r="S346" s="7">
        <v>3.5</v>
      </c>
      <c r="T346" t="s">
        <v>29</v>
      </c>
    </row>
    <row r="347" spans="1:20" x14ac:dyDescent="0.3">
      <c r="A347">
        <v>346</v>
      </c>
      <c r="B347" s="1">
        <v>44927</v>
      </c>
      <c r="C347">
        <v>2023</v>
      </c>
      <c r="D347">
        <v>1</v>
      </c>
      <c r="E347" t="s">
        <v>20</v>
      </c>
      <c r="F347">
        <v>1</v>
      </c>
      <c r="G347" t="s">
        <v>21</v>
      </c>
      <c r="H347" s="2">
        <v>46203.728402777779</v>
      </c>
      <c r="I347">
        <v>15</v>
      </c>
      <c r="J347" t="s">
        <v>120</v>
      </c>
      <c r="K347" s="8">
        <v>1</v>
      </c>
      <c r="L347">
        <v>5</v>
      </c>
      <c r="M347" t="s">
        <v>23</v>
      </c>
      <c r="N347">
        <v>43</v>
      </c>
      <c r="O347" t="s">
        <v>30</v>
      </c>
      <c r="P347" t="s">
        <v>65</v>
      </c>
      <c r="Q347" t="s">
        <v>75</v>
      </c>
      <c r="R347" s="7">
        <v>3</v>
      </c>
      <c r="S347" s="7">
        <v>3</v>
      </c>
      <c r="T347" t="s">
        <v>29</v>
      </c>
    </row>
    <row r="348" spans="1:20" x14ac:dyDescent="0.3">
      <c r="A348">
        <v>347</v>
      </c>
      <c r="B348" s="1">
        <v>44927</v>
      </c>
      <c r="C348">
        <v>2023</v>
      </c>
      <c r="D348">
        <v>1</v>
      </c>
      <c r="E348" t="s">
        <v>20</v>
      </c>
      <c r="F348">
        <v>1</v>
      </c>
      <c r="G348" t="s">
        <v>21</v>
      </c>
      <c r="H348" s="2">
        <v>46203.728750000002</v>
      </c>
      <c r="I348">
        <v>15</v>
      </c>
      <c r="J348" t="s">
        <v>120</v>
      </c>
      <c r="K348" s="8">
        <v>1</v>
      </c>
      <c r="L348">
        <v>3</v>
      </c>
      <c r="M348" t="s">
        <v>114</v>
      </c>
      <c r="N348">
        <v>57</v>
      </c>
      <c r="O348" t="s">
        <v>30</v>
      </c>
      <c r="P348" t="s">
        <v>31</v>
      </c>
      <c r="Q348" t="s">
        <v>32</v>
      </c>
      <c r="R348" s="7">
        <v>3.1</v>
      </c>
      <c r="S348" s="7">
        <v>3.1</v>
      </c>
      <c r="T348" t="s">
        <v>29</v>
      </c>
    </row>
    <row r="349" spans="1:20" x14ac:dyDescent="0.3">
      <c r="A349">
        <v>348</v>
      </c>
      <c r="B349" s="1">
        <v>44927</v>
      </c>
      <c r="C349">
        <v>2023</v>
      </c>
      <c r="D349">
        <v>1</v>
      </c>
      <c r="E349" t="s">
        <v>20</v>
      </c>
      <c r="F349">
        <v>1</v>
      </c>
      <c r="G349" t="s">
        <v>21</v>
      </c>
      <c r="H349" s="2">
        <v>46203.728750000002</v>
      </c>
      <c r="I349">
        <v>15</v>
      </c>
      <c r="J349" t="s">
        <v>120</v>
      </c>
      <c r="K349" s="8">
        <v>1</v>
      </c>
      <c r="L349">
        <v>3</v>
      </c>
      <c r="M349" t="s">
        <v>114</v>
      </c>
      <c r="N349">
        <v>70</v>
      </c>
      <c r="O349" t="s">
        <v>43</v>
      </c>
      <c r="P349" t="s">
        <v>44</v>
      </c>
      <c r="Q349" t="s">
        <v>111</v>
      </c>
      <c r="R349" s="7">
        <v>3.25</v>
      </c>
      <c r="S349" s="7">
        <v>3.25</v>
      </c>
      <c r="T349" t="s">
        <v>29</v>
      </c>
    </row>
    <row r="350" spans="1:20" x14ac:dyDescent="0.3">
      <c r="A350">
        <v>349</v>
      </c>
      <c r="B350" s="1">
        <v>44927</v>
      </c>
      <c r="C350">
        <v>2023</v>
      </c>
      <c r="D350">
        <v>1</v>
      </c>
      <c r="E350" t="s">
        <v>20</v>
      </c>
      <c r="F350">
        <v>1</v>
      </c>
      <c r="G350" t="s">
        <v>21</v>
      </c>
      <c r="H350" s="2">
        <v>46203.729351851849</v>
      </c>
      <c r="I350">
        <v>15</v>
      </c>
      <c r="J350" t="s">
        <v>120</v>
      </c>
      <c r="K350" s="8">
        <v>1</v>
      </c>
      <c r="L350">
        <v>3</v>
      </c>
      <c r="M350" t="s">
        <v>114</v>
      </c>
      <c r="N350">
        <v>43</v>
      </c>
      <c r="O350" t="s">
        <v>30</v>
      </c>
      <c r="P350" t="s">
        <v>65</v>
      </c>
      <c r="Q350" t="s">
        <v>75</v>
      </c>
      <c r="R350" s="7">
        <v>3</v>
      </c>
      <c r="S350" s="7">
        <v>3</v>
      </c>
      <c r="T350" t="s">
        <v>29</v>
      </c>
    </row>
    <row r="351" spans="1:20" x14ac:dyDescent="0.3">
      <c r="A351">
        <v>350</v>
      </c>
      <c r="B351" s="1">
        <v>44927</v>
      </c>
      <c r="C351">
        <v>2023</v>
      </c>
      <c r="D351">
        <v>1</v>
      </c>
      <c r="E351" t="s">
        <v>20</v>
      </c>
      <c r="F351">
        <v>1</v>
      </c>
      <c r="G351" t="s">
        <v>21</v>
      </c>
      <c r="H351" s="2">
        <v>46203.729479166665</v>
      </c>
      <c r="I351">
        <v>15</v>
      </c>
      <c r="J351" t="s">
        <v>120</v>
      </c>
      <c r="K351" s="8">
        <v>2</v>
      </c>
      <c r="L351">
        <v>3</v>
      </c>
      <c r="M351" t="s">
        <v>114</v>
      </c>
      <c r="N351">
        <v>31</v>
      </c>
      <c r="O351" t="s">
        <v>24</v>
      </c>
      <c r="P351" t="s">
        <v>25</v>
      </c>
      <c r="Q351" t="s">
        <v>116</v>
      </c>
      <c r="R351" s="7">
        <v>2.2000000000000002</v>
      </c>
      <c r="S351" s="7">
        <v>4.4000000000000004</v>
      </c>
      <c r="T351" t="s">
        <v>29</v>
      </c>
    </row>
    <row r="352" spans="1:20" x14ac:dyDescent="0.3">
      <c r="A352">
        <v>351</v>
      </c>
      <c r="B352" s="1">
        <v>44927</v>
      </c>
      <c r="C352">
        <v>2023</v>
      </c>
      <c r="D352">
        <v>1</v>
      </c>
      <c r="E352" t="s">
        <v>20</v>
      </c>
      <c r="F352">
        <v>1</v>
      </c>
      <c r="G352" t="s">
        <v>21</v>
      </c>
      <c r="H352" s="2">
        <v>46203.729837962965</v>
      </c>
      <c r="I352">
        <v>15</v>
      </c>
      <c r="J352" t="s">
        <v>120</v>
      </c>
      <c r="K352" s="8">
        <v>1</v>
      </c>
      <c r="L352">
        <v>5</v>
      </c>
      <c r="M352" t="s">
        <v>23</v>
      </c>
      <c r="N352">
        <v>34</v>
      </c>
      <c r="O352" t="s">
        <v>24</v>
      </c>
      <c r="P352" t="s">
        <v>99</v>
      </c>
      <c r="Q352" t="s">
        <v>100</v>
      </c>
      <c r="R352" s="7">
        <v>2.4500000000000002</v>
      </c>
      <c r="S352" s="7">
        <v>2.4500000000000002</v>
      </c>
      <c r="T352" t="s">
        <v>29</v>
      </c>
    </row>
    <row r="353" spans="1:20" x14ac:dyDescent="0.3">
      <c r="A353">
        <v>352</v>
      </c>
      <c r="B353" s="1">
        <v>44927</v>
      </c>
      <c r="C353">
        <v>2023</v>
      </c>
      <c r="D353">
        <v>1</v>
      </c>
      <c r="E353" t="s">
        <v>20</v>
      </c>
      <c r="F353">
        <v>1</v>
      </c>
      <c r="G353" t="s">
        <v>21</v>
      </c>
      <c r="H353" s="2">
        <v>46203.729837962965</v>
      </c>
      <c r="I353">
        <v>15</v>
      </c>
      <c r="J353" t="s">
        <v>120</v>
      </c>
      <c r="K353" s="8">
        <v>2</v>
      </c>
      <c r="L353">
        <v>8</v>
      </c>
      <c r="M353" t="s">
        <v>64</v>
      </c>
      <c r="N353">
        <v>29</v>
      </c>
      <c r="O353" t="s">
        <v>24</v>
      </c>
      <c r="P353" t="s">
        <v>25</v>
      </c>
      <c r="Q353" t="s">
        <v>85</v>
      </c>
      <c r="R353" s="7">
        <v>2.5</v>
      </c>
      <c r="S353" s="7">
        <v>5</v>
      </c>
      <c r="T353" t="s">
        <v>29</v>
      </c>
    </row>
    <row r="354" spans="1:20" x14ac:dyDescent="0.3">
      <c r="A354">
        <v>353</v>
      </c>
      <c r="B354" s="1">
        <v>44927</v>
      </c>
      <c r="C354">
        <v>2023</v>
      </c>
      <c r="D354">
        <v>1</v>
      </c>
      <c r="E354" t="s">
        <v>20</v>
      </c>
      <c r="F354">
        <v>1</v>
      </c>
      <c r="G354" t="s">
        <v>21</v>
      </c>
      <c r="H354" s="2">
        <v>46203.731666666667</v>
      </c>
      <c r="I354">
        <v>15</v>
      </c>
      <c r="J354" t="s">
        <v>120</v>
      </c>
      <c r="K354" s="8">
        <v>2</v>
      </c>
      <c r="L354">
        <v>5</v>
      </c>
      <c r="M354" t="s">
        <v>23</v>
      </c>
      <c r="N354">
        <v>28</v>
      </c>
      <c r="O354" t="s">
        <v>24</v>
      </c>
      <c r="P354" t="s">
        <v>25</v>
      </c>
      <c r="Q354" t="s">
        <v>46</v>
      </c>
      <c r="R354" s="7">
        <v>2</v>
      </c>
      <c r="S354" s="7">
        <v>4</v>
      </c>
      <c r="T354" t="s">
        <v>29</v>
      </c>
    </row>
    <row r="355" spans="1:20" x14ac:dyDescent="0.3">
      <c r="A355">
        <v>354</v>
      </c>
      <c r="B355" s="1">
        <v>44927</v>
      </c>
      <c r="C355">
        <v>2023</v>
      </c>
      <c r="D355">
        <v>1</v>
      </c>
      <c r="E355" t="s">
        <v>20</v>
      </c>
      <c r="F355">
        <v>1</v>
      </c>
      <c r="G355" t="s">
        <v>21</v>
      </c>
      <c r="H355" s="2">
        <v>46203.731666666667</v>
      </c>
      <c r="I355">
        <v>15</v>
      </c>
      <c r="J355" t="s">
        <v>120</v>
      </c>
      <c r="K355" s="8">
        <v>1</v>
      </c>
      <c r="L355">
        <v>5</v>
      </c>
      <c r="M355" t="s">
        <v>23</v>
      </c>
      <c r="N355">
        <v>74</v>
      </c>
      <c r="O355" t="s">
        <v>43</v>
      </c>
      <c r="P355" t="s">
        <v>71</v>
      </c>
      <c r="Q355" t="s">
        <v>103</v>
      </c>
      <c r="R355" s="7">
        <v>3.5</v>
      </c>
      <c r="S355" s="7">
        <v>3.5</v>
      </c>
      <c r="T355" t="s">
        <v>29</v>
      </c>
    </row>
    <row r="356" spans="1:20" x14ac:dyDescent="0.3">
      <c r="A356">
        <v>355</v>
      </c>
      <c r="B356" s="1">
        <v>44927</v>
      </c>
      <c r="C356">
        <v>2023</v>
      </c>
      <c r="D356">
        <v>1</v>
      </c>
      <c r="E356" t="s">
        <v>20</v>
      </c>
      <c r="F356">
        <v>1</v>
      </c>
      <c r="G356" t="s">
        <v>21</v>
      </c>
      <c r="H356" s="2">
        <v>46203.732060185182</v>
      </c>
      <c r="I356">
        <v>15</v>
      </c>
      <c r="J356" t="s">
        <v>120</v>
      </c>
      <c r="K356" s="8">
        <v>2</v>
      </c>
      <c r="L356">
        <v>3</v>
      </c>
      <c r="M356" t="s">
        <v>114</v>
      </c>
      <c r="N356">
        <v>41</v>
      </c>
      <c r="O356" t="s">
        <v>24</v>
      </c>
      <c r="P356" t="s">
        <v>48</v>
      </c>
      <c r="Q356" t="s">
        <v>105</v>
      </c>
      <c r="R356" s="7">
        <v>4.25</v>
      </c>
      <c r="S356" s="7">
        <v>8.5</v>
      </c>
      <c r="T356" t="s">
        <v>29</v>
      </c>
    </row>
    <row r="357" spans="1:20" x14ac:dyDescent="0.3">
      <c r="A357">
        <v>356</v>
      </c>
      <c r="B357" s="1">
        <v>44927</v>
      </c>
      <c r="C357">
        <v>2023</v>
      </c>
      <c r="D357">
        <v>1</v>
      </c>
      <c r="E357" t="s">
        <v>20</v>
      </c>
      <c r="F357">
        <v>1</v>
      </c>
      <c r="G357" t="s">
        <v>21</v>
      </c>
      <c r="H357" s="2">
        <v>46203.732060185182</v>
      </c>
      <c r="I357">
        <v>15</v>
      </c>
      <c r="J357" t="s">
        <v>120</v>
      </c>
      <c r="K357" s="8">
        <v>1</v>
      </c>
      <c r="L357">
        <v>3</v>
      </c>
      <c r="M357" t="s">
        <v>114</v>
      </c>
      <c r="N357">
        <v>76</v>
      </c>
      <c r="O357" t="s">
        <v>43</v>
      </c>
      <c r="P357" t="s">
        <v>71</v>
      </c>
      <c r="Q357" t="s">
        <v>76</v>
      </c>
      <c r="R357" s="7">
        <v>3.5</v>
      </c>
      <c r="S357" s="7">
        <v>3.5</v>
      </c>
      <c r="T357" t="s">
        <v>29</v>
      </c>
    </row>
    <row r="358" spans="1:20" x14ac:dyDescent="0.3">
      <c r="A358">
        <v>357</v>
      </c>
      <c r="B358" s="1">
        <v>44927</v>
      </c>
      <c r="C358">
        <v>2023</v>
      </c>
      <c r="D358">
        <v>1</v>
      </c>
      <c r="E358" t="s">
        <v>20</v>
      </c>
      <c r="F358">
        <v>1</v>
      </c>
      <c r="G358" t="s">
        <v>21</v>
      </c>
      <c r="H358" s="2">
        <v>46203.734016203707</v>
      </c>
      <c r="I358">
        <v>15</v>
      </c>
      <c r="J358" t="s">
        <v>120</v>
      </c>
      <c r="K358" s="8">
        <v>2</v>
      </c>
      <c r="L358">
        <v>5</v>
      </c>
      <c r="M358" t="s">
        <v>23</v>
      </c>
      <c r="N358">
        <v>37</v>
      </c>
      <c r="O358" t="s">
        <v>24</v>
      </c>
      <c r="P358" t="s">
        <v>48</v>
      </c>
      <c r="Q358" t="s">
        <v>107</v>
      </c>
      <c r="R358" s="7">
        <v>3</v>
      </c>
      <c r="S358" s="7">
        <v>6</v>
      </c>
      <c r="T358" t="s">
        <v>29</v>
      </c>
    </row>
    <row r="359" spans="1:20" x14ac:dyDescent="0.3">
      <c r="A359">
        <v>358</v>
      </c>
      <c r="B359" s="1">
        <v>44927</v>
      </c>
      <c r="C359">
        <v>2023</v>
      </c>
      <c r="D359">
        <v>1</v>
      </c>
      <c r="E359" t="s">
        <v>20</v>
      </c>
      <c r="F359">
        <v>1</v>
      </c>
      <c r="G359" t="s">
        <v>21</v>
      </c>
      <c r="H359" s="2">
        <v>46203.735925925925</v>
      </c>
      <c r="I359">
        <v>15</v>
      </c>
      <c r="J359" t="s">
        <v>120</v>
      </c>
      <c r="K359" s="8">
        <v>1</v>
      </c>
      <c r="L359">
        <v>8</v>
      </c>
      <c r="M359" t="s">
        <v>64</v>
      </c>
      <c r="N359">
        <v>44</v>
      </c>
      <c r="O359" t="s">
        <v>30</v>
      </c>
      <c r="P359" t="s">
        <v>65</v>
      </c>
      <c r="Q359" t="s">
        <v>92</v>
      </c>
      <c r="R359" s="7">
        <v>2.5</v>
      </c>
      <c r="S359" s="7">
        <v>2.5</v>
      </c>
      <c r="T359" t="s">
        <v>29</v>
      </c>
    </row>
    <row r="360" spans="1:20" x14ac:dyDescent="0.3">
      <c r="A360">
        <v>359</v>
      </c>
      <c r="B360" s="1">
        <v>44927</v>
      </c>
      <c r="C360">
        <v>2023</v>
      </c>
      <c r="D360">
        <v>1</v>
      </c>
      <c r="E360" t="s">
        <v>20</v>
      </c>
      <c r="F360">
        <v>1</v>
      </c>
      <c r="G360" t="s">
        <v>21</v>
      </c>
      <c r="H360" s="2">
        <v>46203.73773148148</v>
      </c>
      <c r="I360">
        <v>15</v>
      </c>
      <c r="J360" t="s">
        <v>120</v>
      </c>
      <c r="K360" s="8">
        <v>1</v>
      </c>
      <c r="L360">
        <v>3</v>
      </c>
      <c r="M360" t="s">
        <v>114</v>
      </c>
      <c r="N360">
        <v>36</v>
      </c>
      <c r="O360" t="s">
        <v>24</v>
      </c>
      <c r="P360" t="s">
        <v>99</v>
      </c>
      <c r="Q360" t="s">
        <v>102</v>
      </c>
      <c r="R360" s="7">
        <v>3.75</v>
      </c>
      <c r="S360" s="7">
        <v>3.75</v>
      </c>
      <c r="T360" t="s">
        <v>29</v>
      </c>
    </row>
    <row r="361" spans="1:20" x14ac:dyDescent="0.3">
      <c r="A361">
        <v>360</v>
      </c>
      <c r="B361" s="1">
        <v>44927</v>
      </c>
      <c r="C361">
        <v>2023</v>
      </c>
      <c r="D361">
        <v>1</v>
      </c>
      <c r="E361" t="s">
        <v>20</v>
      </c>
      <c r="F361">
        <v>1</v>
      </c>
      <c r="G361" t="s">
        <v>21</v>
      </c>
      <c r="H361" s="2">
        <v>46203.739768518521</v>
      </c>
      <c r="I361">
        <v>15</v>
      </c>
      <c r="J361" t="s">
        <v>120</v>
      </c>
      <c r="K361" s="8">
        <v>2</v>
      </c>
      <c r="L361">
        <v>3</v>
      </c>
      <c r="M361" t="s">
        <v>114</v>
      </c>
      <c r="N361">
        <v>46</v>
      </c>
      <c r="O361" t="s">
        <v>30</v>
      </c>
      <c r="P361" t="s">
        <v>60</v>
      </c>
      <c r="Q361" t="s">
        <v>95</v>
      </c>
      <c r="R361" s="7">
        <v>2.5</v>
      </c>
      <c r="S361" s="7">
        <v>5</v>
      </c>
      <c r="T361" t="s">
        <v>29</v>
      </c>
    </row>
    <row r="362" spans="1:20" x14ac:dyDescent="0.3">
      <c r="A362">
        <v>361</v>
      </c>
      <c r="B362" s="1">
        <v>44927</v>
      </c>
      <c r="C362">
        <v>2023</v>
      </c>
      <c r="D362">
        <v>1</v>
      </c>
      <c r="E362" t="s">
        <v>20</v>
      </c>
      <c r="F362">
        <v>1</v>
      </c>
      <c r="G362" t="s">
        <v>21</v>
      </c>
      <c r="H362" s="2">
        <v>46203.740671296298</v>
      </c>
      <c r="I362">
        <v>15</v>
      </c>
      <c r="J362" t="s">
        <v>120</v>
      </c>
      <c r="K362" s="8">
        <v>2</v>
      </c>
      <c r="L362">
        <v>5</v>
      </c>
      <c r="M362" t="s">
        <v>23</v>
      </c>
      <c r="N362">
        <v>40</v>
      </c>
      <c r="O362" t="s">
        <v>24</v>
      </c>
      <c r="P362" t="s">
        <v>48</v>
      </c>
      <c r="Q362" t="s">
        <v>74</v>
      </c>
      <c r="R362" s="7">
        <v>3.75</v>
      </c>
      <c r="S362" s="7">
        <v>7.5</v>
      </c>
      <c r="T362" t="s">
        <v>29</v>
      </c>
    </row>
    <row r="363" spans="1:20" x14ac:dyDescent="0.3">
      <c r="A363">
        <v>362</v>
      </c>
      <c r="B363" s="1">
        <v>44927</v>
      </c>
      <c r="C363">
        <v>2023</v>
      </c>
      <c r="D363">
        <v>1</v>
      </c>
      <c r="E363" t="s">
        <v>20</v>
      </c>
      <c r="F363">
        <v>1</v>
      </c>
      <c r="G363" t="s">
        <v>21</v>
      </c>
      <c r="H363" s="2">
        <v>46203.743923611109</v>
      </c>
      <c r="I363">
        <v>15</v>
      </c>
      <c r="J363" t="s">
        <v>120</v>
      </c>
      <c r="K363" s="8">
        <v>2</v>
      </c>
      <c r="L363">
        <v>8</v>
      </c>
      <c r="M363" t="s">
        <v>64</v>
      </c>
      <c r="N363">
        <v>35</v>
      </c>
      <c r="O363" t="s">
        <v>24</v>
      </c>
      <c r="P363" t="s">
        <v>99</v>
      </c>
      <c r="Q363" t="s">
        <v>110</v>
      </c>
      <c r="R363" s="7">
        <v>3.1</v>
      </c>
      <c r="S363" s="7">
        <v>6.2</v>
      </c>
      <c r="T363" t="s">
        <v>29</v>
      </c>
    </row>
    <row r="364" spans="1:20" x14ac:dyDescent="0.3">
      <c r="A364">
        <v>363</v>
      </c>
      <c r="B364" s="1">
        <v>44927</v>
      </c>
      <c r="C364">
        <v>2023</v>
      </c>
      <c r="D364">
        <v>1</v>
      </c>
      <c r="E364" t="s">
        <v>20</v>
      </c>
      <c r="F364">
        <v>1</v>
      </c>
      <c r="G364" t="s">
        <v>21</v>
      </c>
      <c r="H364" s="2">
        <v>46203.744710648149</v>
      </c>
      <c r="I364">
        <v>15</v>
      </c>
      <c r="J364" t="s">
        <v>120</v>
      </c>
      <c r="K364" s="8">
        <v>2</v>
      </c>
      <c r="L364">
        <v>5</v>
      </c>
      <c r="M364" t="s">
        <v>23</v>
      </c>
      <c r="N364">
        <v>39</v>
      </c>
      <c r="O364" t="s">
        <v>24</v>
      </c>
      <c r="P364" t="s">
        <v>48</v>
      </c>
      <c r="Q364" t="s">
        <v>49</v>
      </c>
      <c r="R364" s="7">
        <v>4.25</v>
      </c>
      <c r="S364" s="7">
        <v>8.5</v>
      </c>
      <c r="T364" t="s">
        <v>29</v>
      </c>
    </row>
    <row r="365" spans="1:20" x14ac:dyDescent="0.3">
      <c r="A365">
        <v>364</v>
      </c>
      <c r="B365" s="1">
        <v>44927</v>
      </c>
      <c r="C365">
        <v>2023</v>
      </c>
      <c r="D365">
        <v>1</v>
      </c>
      <c r="E365" t="s">
        <v>20</v>
      </c>
      <c r="F365">
        <v>1</v>
      </c>
      <c r="G365" t="s">
        <v>21</v>
      </c>
      <c r="H365" s="2">
        <v>46203.744710648149</v>
      </c>
      <c r="I365">
        <v>15</v>
      </c>
      <c r="J365" t="s">
        <v>120</v>
      </c>
      <c r="K365" s="8">
        <v>1</v>
      </c>
      <c r="L365">
        <v>5</v>
      </c>
      <c r="M365" t="s">
        <v>23</v>
      </c>
      <c r="N365">
        <v>69</v>
      </c>
      <c r="O365" t="s">
        <v>43</v>
      </c>
      <c r="P365" t="s">
        <v>71</v>
      </c>
      <c r="Q365" t="s">
        <v>72</v>
      </c>
      <c r="R365" s="7">
        <v>3.25</v>
      </c>
      <c r="S365" s="7">
        <v>3.25</v>
      </c>
      <c r="T365" t="s">
        <v>29</v>
      </c>
    </row>
    <row r="366" spans="1:20" x14ac:dyDescent="0.3">
      <c r="A366">
        <v>365</v>
      </c>
      <c r="B366" s="1">
        <v>44927</v>
      </c>
      <c r="C366">
        <v>2023</v>
      </c>
      <c r="D366">
        <v>1</v>
      </c>
      <c r="E366" t="s">
        <v>20</v>
      </c>
      <c r="F366">
        <v>1</v>
      </c>
      <c r="G366" t="s">
        <v>21</v>
      </c>
      <c r="H366" s="2">
        <v>46203.745775462965</v>
      </c>
      <c r="I366">
        <v>15</v>
      </c>
      <c r="J366" t="s">
        <v>120</v>
      </c>
      <c r="K366" s="8">
        <v>2</v>
      </c>
      <c r="L366">
        <v>5</v>
      </c>
      <c r="M366" t="s">
        <v>23</v>
      </c>
      <c r="N366">
        <v>33</v>
      </c>
      <c r="O366" t="s">
        <v>24</v>
      </c>
      <c r="P366" t="s">
        <v>25</v>
      </c>
      <c r="Q366" t="s">
        <v>56</v>
      </c>
      <c r="R366" s="7">
        <v>3.5</v>
      </c>
      <c r="S366" s="7">
        <v>7</v>
      </c>
      <c r="T366" t="s">
        <v>29</v>
      </c>
    </row>
    <row r="367" spans="1:20" x14ac:dyDescent="0.3">
      <c r="A367">
        <v>366</v>
      </c>
      <c r="B367" s="1">
        <v>44927</v>
      </c>
      <c r="C367">
        <v>2023</v>
      </c>
      <c r="D367">
        <v>1</v>
      </c>
      <c r="E367" t="s">
        <v>20</v>
      </c>
      <c r="F367">
        <v>1</v>
      </c>
      <c r="G367" t="s">
        <v>21</v>
      </c>
      <c r="H367" s="2">
        <v>46203.747048611112</v>
      </c>
      <c r="I367">
        <v>15</v>
      </c>
      <c r="J367" t="s">
        <v>120</v>
      </c>
      <c r="K367" s="8">
        <v>1</v>
      </c>
      <c r="L367">
        <v>8</v>
      </c>
      <c r="M367" t="s">
        <v>64</v>
      </c>
      <c r="N367">
        <v>24</v>
      </c>
      <c r="O367" t="s">
        <v>24</v>
      </c>
      <c r="P367" t="s">
        <v>40</v>
      </c>
      <c r="Q367" t="s">
        <v>89</v>
      </c>
      <c r="R367" s="7">
        <v>3</v>
      </c>
      <c r="S367" s="7">
        <v>3</v>
      </c>
      <c r="T367" t="s">
        <v>29</v>
      </c>
    </row>
    <row r="368" spans="1:20" x14ac:dyDescent="0.3">
      <c r="A368">
        <v>367</v>
      </c>
      <c r="B368" s="1">
        <v>44927</v>
      </c>
      <c r="C368">
        <v>2023</v>
      </c>
      <c r="D368">
        <v>1</v>
      </c>
      <c r="E368" t="s">
        <v>20</v>
      </c>
      <c r="F368">
        <v>1</v>
      </c>
      <c r="G368" t="s">
        <v>21</v>
      </c>
      <c r="H368" s="2">
        <v>46203.747106481482</v>
      </c>
      <c r="I368">
        <v>15</v>
      </c>
      <c r="J368" t="s">
        <v>120</v>
      </c>
      <c r="K368" s="8">
        <v>2</v>
      </c>
      <c r="L368">
        <v>3</v>
      </c>
      <c r="M368" t="s">
        <v>114</v>
      </c>
      <c r="N368">
        <v>31</v>
      </c>
      <c r="O368" t="s">
        <v>24</v>
      </c>
      <c r="P368" t="s">
        <v>25</v>
      </c>
      <c r="Q368" t="s">
        <v>116</v>
      </c>
      <c r="R368" s="7">
        <v>2.2000000000000002</v>
      </c>
      <c r="S368" s="7">
        <v>4.4000000000000004</v>
      </c>
      <c r="T368" t="s">
        <v>29</v>
      </c>
    </row>
    <row r="369" spans="1:20" x14ac:dyDescent="0.3">
      <c r="A369">
        <v>368</v>
      </c>
      <c r="B369" s="1">
        <v>44927</v>
      </c>
      <c r="C369">
        <v>2023</v>
      </c>
      <c r="D369">
        <v>1</v>
      </c>
      <c r="E369" t="s">
        <v>20</v>
      </c>
      <c r="F369">
        <v>1</v>
      </c>
      <c r="G369" t="s">
        <v>21</v>
      </c>
      <c r="H369" s="2">
        <v>46203.749247685184</v>
      </c>
      <c r="I369">
        <v>15</v>
      </c>
      <c r="J369" t="s">
        <v>120</v>
      </c>
      <c r="K369" s="8">
        <v>1</v>
      </c>
      <c r="L369">
        <v>8</v>
      </c>
      <c r="M369" t="s">
        <v>64</v>
      </c>
      <c r="N369">
        <v>48</v>
      </c>
      <c r="O369" t="s">
        <v>30</v>
      </c>
      <c r="P369" t="s">
        <v>57</v>
      </c>
      <c r="Q369" t="s">
        <v>93</v>
      </c>
      <c r="R369" s="7">
        <v>2.5</v>
      </c>
      <c r="S369" s="7">
        <v>2.5</v>
      </c>
      <c r="T369" t="s">
        <v>29</v>
      </c>
    </row>
    <row r="370" spans="1:20" x14ac:dyDescent="0.3">
      <c r="A370">
        <v>369</v>
      </c>
      <c r="B370" s="1">
        <v>44927</v>
      </c>
      <c r="C370">
        <v>2023</v>
      </c>
      <c r="D370">
        <v>1</v>
      </c>
      <c r="E370" t="s">
        <v>20</v>
      </c>
      <c r="F370">
        <v>1</v>
      </c>
      <c r="G370" t="s">
        <v>21</v>
      </c>
      <c r="H370" s="2">
        <v>46203.7502662037</v>
      </c>
      <c r="I370">
        <v>16</v>
      </c>
      <c r="J370" t="s">
        <v>120</v>
      </c>
      <c r="K370" s="8">
        <v>1</v>
      </c>
      <c r="L370">
        <v>8</v>
      </c>
      <c r="M370" t="s">
        <v>64</v>
      </c>
      <c r="N370">
        <v>38</v>
      </c>
      <c r="O370" t="s">
        <v>24</v>
      </c>
      <c r="P370" t="s">
        <v>48</v>
      </c>
      <c r="Q370" t="s">
        <v>81</v>
      </c>
      <c r="R370" s="7">
        <v>3.75</v>
      </c>
      <c r="S370" s="7">
        <v>3.75</v>
      </c>
      <c r="T370" t="s">
        <v>29</v>
      </c>
    </row>
    <row r="371" spans="1:20" x14ac:dyDescent="0.3">
      <c r="A371">
        <v>370</v>
      </c>
      <c r="B371" s="1">
        <v>44927</v>
      </c>
      <c r="C371">
        <v>2023</v>
      </c>
      <c r="D371">
        <v>1</v>
      </c>
      <c r="E371" t="s">
        <v>20</v>
      </c>
      <c r="F371">
        <v>1</v>
      </c>
      <c r="G371" t="s">
        <v>21</v>
      </c>
      <c r="H371" s="2">
        <v>46203.751469907409</v>
      </c>
      <c r="I371">
        <v>16</v>
      </c>
      <c r="J371" t="s">
        <v>120</v>
      </c>
      <c r="K371" s="8">
        <v>1</v>
      </c>
      <c r="L371">
        <v>8</v>
      </c>
      <c r="M371" t="s">
        <v>64</v>
      </c>
      <c r="N371">
        <v>41</v>
      </c>
      <c r="O371" t="s">
        <v>24</v>
      </c>
      <c r="P371" t="s">
        <v>48</v>
      </c>
      <c r="Q371" t="s">
        <v>105</v>
      </c>
      <c r="R371" s="7">
        <v>4.25</v>
      </c>
      <c r="S371" s="7">
        <v>4.25</v>
      </c>
      <c r="T371" t="s">
        <v>29</v>
      </c>
    </row>
    <row r="372" spans="1:20" x14ac:dyDescent="0.3">
      <c r="A372">
        <v>371</v>
      </c>
      <c r="B372" s="1">
        <v>44927</v>
      </c>
      <c r="C372">
        <v>2023</v>
      </c>
      <c r="D372">
        <v>1</v>
      </c>
      <c r="E372" t="s">
        <v>20</v>
      </c>
      <c r="F372">
        <v>1</v>
      </c>
      <c r="G372" t="s">
        <v>21</v>
      </c>
      <c r="H372" s="2">
        <v>46203.752430555556</v>
      </c>
      <c r="I372">
        <v>16</v>
      </c>
      <c r="J372" t="s">
        <v>120</v>
      </c>
      <c r="K372" s="8">
        <v>2</v>
      </c>
      <c r="L372">
        <v>3</v>
      </c>
      <c r="M372" t="s">
        <v>114</v>
      </c>
      <c r="N372">
        <v>34</v>
      </c>
      <c r="O372" t="s">
        <v>24</v>
      </c>
      <c r="P372" t="s">
        <v>99</v>
      </c>
      <c r="Q372" t="s">
        <v>100</v>
      </c>
      <c r="R372" s="7">
        <v>2.4500000000000002</v>
      </c>
      <c r="S372" s="7">
        <v>4.9000000000000004</v>
      </c>
      <c r="T372" t="s">
        <v>29</v>
      </c>
    </row>
    <row r="373" spans="1:20" x14ac:dyDescent="0.3">
      <c r="A373">
        <v>372</v>
      </c>
      <c r="B373" s="1">
        <v>44927</v>
      </c>
      <c r="C373">
        <v>2023</v>
      </c>
      <c r="D373">
        <v>1</v>
      </c>
      <c r="E373" t="s">
        <v>20</v>
      </c>
      <c r="F373">
        <v>1</v>
      </c>
      <c r="G373" t="s">
        <v>21</v>
      </c>
      <c r="H373" s="2">
        <v>46203.752708333333</v>
      </c>
      <c r="I373">
        <v>16</v>
      </c>
      <c r="J373" t="s">
        <v>120</v>
      </c>
      <c r="K373" s="8">
        <v>1</v>
      </c>
      <c r="L373">
        <v>8</v>
      </c>
      <c r="M373" t="s">
        <v>64</v>
      </c>
      <c r="N373">
        <v>46</v>
      </c>
      <c r="O373" t="s">
        <v>30</v>
      </c>
      <c r="P373" t="s">
        <v>60</v>
      </c>
      <c r="Q373" t="s">
        <v>95</v>
      </c>
      <c r="R373" s="7">
        <v>2.5</v>
      </c>
      <c r="S373" s="7">
        <v>2.5</v>
      </c>
      <c r="T373" t="s">
        <v>29</v>
      </c>
    </row>
    <row r="374" spans="1:20" x14ac:dyDescent="0.3">
      <c r="A374">
        <v>373</v>
      </c>
      <c r="B374" s="1">
        <v>44927</v>
      </c>
      <c r="C374">
        <v>2023</v>
      </c>
      <c r="D374">
        <v>1</v>
      </c>
      <c r="E374" t="s">
        <v>20</v>
      </c>
      <c r="F374">
        <v>1</v>
      </c>
      <c r="G374" t="s">
        <v>21</v>
      </c>
      <c r="H374" s="2">
        <v>46203.752893518518</v>
      </c>
      <c r="I374">
        <v>16</v>
      </c>
      <c r="J374" t="s">
        <v>120</v>
      </c>
      <c r="K374" s="8">
        <v>2</v>
      </c>
      <c r="L374">
        <v>3</v>
      </c>
      <c r="M374" t="s">
        <v>114</v>
      </c>
      <c r="N374">
        <v>42</v>
      </c>
      <c r="O374" t="s">
        <v>30</v>
      </c>
      <c r="P374" t="s">
        <v>65</v>
      </c>
      <c r="Q374" t="s">
        <v>66</v>
      </c>
      <c r="R374" s="7">
        <v>2.5</v>
      </c>
      <c r="S374" s="7">
        <v>5</v>
      </c>
      <c r="T374" t="s">
        <v>29</v>
      </c>
    </row>
    <row r="375" spans="1:20" x14ac:dyDescent="0.3">
      <c r="A375">
        <v>374</v>
      </c>
      <c r="B375" s="1">
        <v>44927</v>
      </c>
      <c r="C375">
        <v>2023</v>
      </c>
      <c r="D375">
        <v>1</v>
      </c>
      <c r="E375" t="s">
        <v>20</v>
      </c>
      <c r="F375">
        <v>1</v>
      </c>
      <c r="G375" t="s">
        <v>21</v>
      </c>
      <c r="H375" s="2">
        <v>46203.754212962966</v>
      </c>
      <c r="I375">
        <v>16</v>
      </c>
      <c r="J375" t="s">
        <v>120</v>
      </c>
      <c r="K375" s="8">
        <v>2</v>
      </c>
      <c r="L375">
        <v>3</v>
      </c>
      <c r="M375" t="s">
        <v>114</v>
      </c>
      <c r="N375">
        <v>23</v>
      </c>
      <c r="O375" t="s">
        <v>24</v>
      </c>
      <c r="P375" t="s">
        <v>40</v>
      </c>
      <c r="Q375" t="s">
        <v>94</v>
      </c>
      <c r="R375" s="7">
        <v>2.5</v>
      </c>
      <c r="S375" s="7">
        <v>5</v>
      </c>
      <c r="T375" t="s">
        <v>29</v>
      </c>
    </row>
    <row r="376" spans="1:20" x14ac:dyDescent="0.3">
      <c r="A376">
        <v>375</v>
      </c>
      <c r="B376" s="1">
        <v>44927</v>
      </c>
      <c r="C376">
        <v>2023</v>
      </c>
      <c r="D376">
        <v>1</v>
      </c>
      <c r="E376" t="s">
        <v>20</v>
      </c>
      <c r="F376">
        <v>1</v>
      </c>
      <c r="G376" t="s">
        <v>21</v>
      </c>
      <c r="H376" s="2">
        <v>46203.75509259259</v>
      </c>
      <c r="I376">
        <v>16</v>
      </c>
      <c r="J376" t="s">
        <v>120</v>
      </c>
      <c r="K376" s="8">
        <v>2</v>
      </c>
      <c r="L376">
        <v>3</v>
      </c>
      <c r="M376" t="s">
        <v>114</v>
      </c>
      <c r="N376">
        <v>23</v>
      </c>
      <c r="O376" t="s">
        <v>24</v>
      </c>
      <c r="P376" t="s">
        <v>40</v>
      </c>
      <c r="Q376" t="s">
        <v>94</v>
      </c>
      <c r="R376" s="7">
        <v>2.5</v>
      </c>
      <c r="S376" s="7">
        <v>5</v>
      </c>
      <c r="T376" t="s">
        <v>29</v>
      </c>
    </row>
    <row r="377" spans="1:20" x14ac:dyDescent="0.3">
      <c r="A377">
        <v>376</v>
      </c>
      <c r="B377" s="1">
        <v>44927</v>
      </c>
      <c r="C377">
        <v>2023</v>
      </c>
      <c r="D377">
        <v>1</v>
      </c>
      <c r="E377" t="s">
        <v>20</v>
      </c>
      <c r="F377">
        <v>1</v>
      </c>
      <c r="G377" t="s">
        <v>21</v>
      </c>
      <c r="H377" s="2">
        <v>46203.756238425929</v>
      </c>
      <c r="I377">
        <v>16</v>
      </c>
      <c r="J377" t="s">
        <v>120</v>
      </c>
      <c r="K377" s="8">
        <v>2</v>
      </c>
      <c r="L377">
        <v>3</v>
      </c>
      <c r="M377" t="s">
        <v>114</v>
      </c>
      <c r="N377">
        <v>42</v>
      </c>
      <c r="O377" t="s">
        <v>30</v>
      </c>
      <c r="P377" t="s">
        <v>65</v>
      </c>
      <c r="Q377" t="s">
        <v>66</v>
      </c>
      <c r="R377" s="7">
        <v>2.5</v>
      </c>
      <c r="S377" s="7">
        <v>5</v>
      </c>
      <c r="T377" t="s">
        <v>29</v>
      </c>
    </row>
    <row r="378" spans="1:20" x14ac:dyDescent="0.3">
      <c r="A378">
        <v>377</v>
      </c>
      <c r="B378" s="1">
        <v>44927</v>
      </c>
      <c r="C378">
        <v>2023</v>
      </c>
      <c r="D378">
        <v>1</v>
      </c>
      <c r="E378" t="s">
        <v>20</v>
      </c>
      <c r="F378">
        <v>1</v>
      </c>
      <c r="G378" t="s">
        <v>21</v>
      </c>
      <c r="H378" s="2">
        <v>46203.757372685184</v>
      </c>
      <c r="I378">
        <v>16</v>
      </c>
      <c r="J378" t="s">
        <v>120</v>
      </c>
      <c r="K378" s="8">
        <v>2</v>
      </c>
      <c r="L378">
        <v>3</v>
      </c>
      <c r="M378" t="s">
        <v>114</v>
      </c>
      <c r="N378">
        <v>42</v>
      </c>
      <c r="O378" t="s">
        <v>30</v>
      </c>
      <c r="P378" t="s">
        <v>65</v>
      </c>
      <c r="Q378" t="s">
        <v>66</v>
      </c>
      <c r="R378" s="7">
        <v>2.5</v>
      </c>
      <c r="S378" s="7">
        <v>5</v>
      </c>
      <c r="T378" t="s">
        <v>29</v>
      </c>
    </row>
    <row r="379" spans="1:20" x14ac:dyDescent="0.3">
      <c r="A379">
        <v>378</v>
      </c>
      <c r="B379" s="1">
        <v>44927</v>
      </c>
      <c r="C379">
        <v>2023</v>
      </c>
      <c r="D379">
        <v>1</v>
      </c>
      <c r="E379" t="s">
        <v>20</v>
      </c>
      <c r="F379">
        <v>1</v>
      </c>
      <c r="G379" t="s">
        <v>21</v>
      </c>
      <c r="H379" s="2">
        <v>46203.758333333331</v>
      </c>
      <c r="I379">
        <v>16</v>
      </c>
      <c r="J379" t="s">
        <v>120</v>
      </c>
      <c r="K379" s="8">
        <v>1</v>
      </c>
      <c r="L379">
        <v>8</v>
      </c>
      <c r="M379" t="s">
        <v>64</v>
      </c>
      <c r="N379">
        <v>87</v>
      </c>
      <c r="O379" t="s">
        <v>24</v>
      </c>
      <c r="P379" t="s">
        <v>48</v>
      </c>
      <c r="Q379" t="s">
        <v>59</v>
      </c>
      <c r="R379" s="7">
        <v>3</v>
      </c>
      <c r="S379" s="7">
        <v>3</v>
      </c>
      <c r="T379" t="s">
        <v>29</v>
      </c>
    </row>
    <row r="380" spans="1:20" x14ac:dyDescent="0.3">
      <c r="A380">
        <v>379</v>
      </c>
      <c r="B380" s="1">
        <v>44927</v>
      </c>
      <c r="C380">
        <v>2023</v>
      </c>
      <c r="D380">
        <v>1</v>
      </c>
      <c r="E380" t="s">
        <v>20</v>
      </c>
      <c r="F380">
        <v>1</v>
      </c>
      <c r="G380" t="s">
        <v>21</v>
      </c>
      <c r="H380" s="2">
        <v>46203.761874999997</v>
      </c>
      <c r="I380">
        <v>16</v>
      </c>
      <c r="J380" t="s">
        <v>120</v>
      </c>
      <c r="K380" s="8">
        <v>2</v>
      </c>
      <c r="L380">
        <v>3</v>
      </c>
      <c r="M380" t="s">
        <v>114</v>
      </c>
      <c r="N380">
        <v>34</v>
      </c>
      <c r="O380" t="s">
        <v>24</v>
      </c>
      <c r="P380" t="s">
        <v>99</v>
      </c>
      <c r="Q380" t="s">
        <v>100</v>
      </c>
      <c r="R380" s="7">
        <v>2.4500000000000002</v>
      </c>
      <c r="S380" s="7">
        <v>4.9000000000000004</v>
      </c>
      <c r="T380" t="s">
        <v>29</v>
      </c>
    </row>
    <row r="381" spans="1:20" x14ac:dyDescent="0.3">
      <c r="A381">
        <v>380</v>
      </c>
      <c r="B381" s="1">
        <v>44927</v>
      </c>
      <c r="C381">
        <v>2023</v>
      </c>
      <c r="D381">
        <v>1</v>
      </c>
      <c r="E381" t="s">
        <v>20</v>
      </c>
      <c r="F381">
        <v>1</v>
      </c>
      <c r="G381" t="s">
        <v>21</v>
      </c>
      <c r="H381" s="2">
        <v>46203.762407407405</v>
      </c>
      <c r="I381">
        <v>16</v>
      </c>
      <c r="J381" t="s">
        <v>120</v>
      </c>
      <c r="K381" s="8">
        <v>2</v>
      </c>
      <c r="L381">
        <v>3</v>
      </c>
      <c r="M381" t="s">
        <v>114</v>
      </c>
      <c r="N381">
        <v>29</v>
      </c>
      <c r="O381" t="s">
        <v>24</v>
      </c>
      <c r="P381" t="s">
        <v>25</v>
      </c>
      <c r="Q381" t="s">
        <v>85</v>
      </c>
      <c r="R381" s="7">
        <v>2.5</v>
      </c>
      <c r="S381" s="7">
        <v>5</v>
      </c>
      <c r="T381" t="s">
        <v>29</v>
      </c>
    </row>
    <row r="382" spans="1:20" x14ac:dyDescent="0.3">
      <c r="A382">
        <v>381</v>
      </c>
      <c r="B382" s="1">
        <v>44927</v>
      </c>
      <c r="C382">
        <v>2023</v>
      </c>
      <c r="D382">
        <v>1</v>
      </c>
      <c r="E382" t="s">
        <v>20</v>
      </c>
      <c r="F382">
        <v>1</v>
      </c>
      <c r="G382" t="s">
        <v>21</v>
      </c>
      <c r="H382" s="2">
        <v>46203.763194444444</v>
      </c>
      <c r="I382">
        <v>16</v>
      </c>
      <c r="J382" t="s">
        <v>120</v>
      </c>
      <c r="K382" s="8">
        <v>2</v>
      </c>
      <c r="L382">
        <v>8</v>
      </c>
      <c r="M382" t="s">
        <v>64</v>
      </c>
      <c r="N382">
        <v>29</v>
      </c>
      <c r="O382" t="s">
        <v>24</v>
      </c>
      <c r="P382" t="s">
        <v>25</v>
      </c>
      <c r="Q382" t="s">
        <v>85</v>
      </c>
      <c r="R382" s="7">
        <v>2.5</v>
      </c>
      <c r="S382" s="7">
        <v>5</v>
      </c>
      <c r="T382" t="s">
        <v>29</v>
      </c>
    </row>
    <row r="383" spans="1:20" x14ac:dyDescent="0.3">
      <c r="A383">
        <v>382</v>
      </c>
      <c r="B383" s="1">
        <v>44927</v>
      </c>
      <c r="C383">
        <v>2023</v>
      </c>
      <c r="D383">
        <v>1</v>
      </c>
      <c r="E383" t="s">
        <v>20</v>
      </c>
      <c r="F383">
        <v>1</v>
      </c>
      <c r="G383" t="s">
        <v>21</v>
      </c>
      <c r="H383" s="2">
        <v>46203.763391203705</v>
      </c>
      <c r="I383">
        <v>16</v>
      </c>
      <c r="J383" t="s">
        <v>120</v>
      </c>
      <c r="K383" s="8">
        <v>1</v>
      </c>
      <c r="L383">
        <v>3</v>
      </c>
      <c r="M383" t="s">
        <v>114</v>
      </c>
      <c r="N383">
        <v>56</v>
      </c>
      <c r="O383" t="s">
        <v>30</v>
      </c>
      <c r="P383" t="s">
        <v>31</v>
      </c>
      <c r="Q383" t="s">
        <v>54</v>
      </c>
      <c r="R383" s="7">
        <v>2.5499999999999998</v>
      </c>
      <c r="S383" s="7">
        <v>2.5499999999999998</v>
      </c>
      <c r="T383" t="s">
        <v>29</v>
      </c>
    </row>
    <row r="384" spans="1:20" x14ac:dyDescent="0.3">
      <c r="A384">
        <v>383</v>
      </c>
      <c r="B384" s="1">
        <v>44927</v>
      </c>
      <c r="C384">
        <v>2023</v>
      </c>
      <c r="D384">
        <v>1</v>
      </c>
      <c r="E384" t="s">
        <v>20</v>
      </c>
      <c r="F384">
        <v>1</v>
      </c>
      <c r="G384" t="s">
        <v>21</v>
      </c>
      <c r="H384" s="2">
        <v>46203.763495370367</v>
      </c>
      <c r="I384">
        <v>16</v>
      </c>
      <c r="J384" t="s">
        <v>120</v>
      </c>
      <c r="K384" s="8">
        <v>2</v>
      </c>
      <c r="L384">
        <v>5</v>
      </c>
      <c r="M384" t="s">
        <v>23</v>
      </c>
      <c r="N384">
        <v>40</v>
      </c>
      <c r="O384" t="s">
        <v>24</v>
      </c>
      <c r="P384" t="s">
        <v>48</v>
      </c>
      <c r="Q384" t="s">
        <v>74</v>
      </c>
      <c r="R384" s="7">
        <v>3.75</v>
      </c>
      <c r="S384" s="7">
        <v>7.5</v>
      </c>
      <c r="T384" t="s">
        <v>29</v>
      </c>
    </row>
    <row r="385" spans="1:20" x14ac:dyDescent="0.3">
      <c r="A385">
        <v>384</v>
      </c>
      <c r="B385" s="1">
        <v>44927</v>
      </c>
      <c r="C385">
        <v>2023</v>
      </c>
      <c r="D385">
        <v>1</v>
      </c>
      <c r="E385" t="s">
        <v>20</v>
      </c>
      <c r="F385">
        <v>1</v>
      </c>
      <c r="G385" t="s">
        <v>21</v>
      </c>
      <c r="H385" s="2">
        <v>46203.763969907406</v>
      </c>
      <c r="I385">
        <v>16</v>
      </c>
      <c r="J385" t="s">
        <v>120</v>
      </c>
      <c r="K385" s="8">
        <v>2</v>
      </c>
      <c r="L385">
        <v>3</v>
      </c>
      <c r="M385" t="s">
        <v>114</v>
      </c>
      <c r="N385">
        <v>36</v>
      </c>
      <c r="O385" t="s">
        <v>24</v>
      </c>
      <c r="P385" t="s">
        <v>99</v>
      </c>
      <c r="Q385" t="s">
        <v>102</v>
      </c>
      <c r="R385" s="7">
        <v>3.75</v>
      </c>
      <c r="S385" s="7">
        <v>7.5</v>
      </c>
      <c r="T385" t="s">
        <v>29</v>
      </c>
    </row>
    <row r="386" spans="1:20" x14ac:dyDescent="0.3">
      <c r="A386">
        <v>385</v>
      </c>
      <c r="B386" s="1">
        <v>44927</v>
      </c>
      <c r="C386">
        <v>2023</v>
      </c>
      <c r="D386">
        <v>1</v>
      </c>
      <c r="E386" t="s">
        <v>20</v>
      </c>
      <c r="F386">
        <v>1</v>
      </c>
      <c r="G386" t="s">
        <v>21</v>
      </c>
      <c r="H386" s="2">
        <v>46203.7653587963</v>
      </c>
      <c r="I386">
        <v>16</v>
      </c>
      <c r="J386" t="s">
        <v>120</v>
      </c>
      <c r="K386" s="8">
        <v>1</v>
      </c>
      <c r="L386">
        <v>5</v>
      </c>
      <c r="M386" t="s">
        <v>23</v>
      </c>
      <c r="N386">
        <v>22</v>
      </c>
      <c r="O386" t="s">
        <v>24</v>
      </c>
      <c r="P386" t="s">
        <v>40</v>
      </c>
      <c r="Q386" t="s">
        <v>41</v>
      </c>
      <c r="R386" s="7">
        <v>2</v>
      </c>
      <c r="S386" s="7">
        <v>2</v>
      </c>
      <c r="T386" t="s">
        <v>29</v>
      </c>
    </row>
    <row r="387" spans="1:20" x14ac:dyDescent="0.3">
      <c r="A387">
        <v>386</v>
      </c>
      <c r="B387" s="1">
        <v>44927</v>
      </c>
      <c r="C387">
        <v>2023</v>
      </c>
      <c r="D387">
        <v>1</v>
      </c>
      <c r="E387" t="s">
        <v>20</v>
      </c>
      <c r="F387">
        <v>1</v>
      </c>
      <c r="G387" t="s">
        <v>21</v>
      </c>
      <c r="H387" s="2">
        <v>46203.765717592592</v>
      </c>
      <c r="I387">
        <v>16</v>
      </c>
      <c r="J387" t="s">
        <v>120</v>
      </c>
      <c r="K387" s="8">
        <v>1</v>
      </c>
      <c r="L387">
        <v>3</v>
      </c>
      <c r="M387" t="s">
        <v>114</v>
      </c>
      <c r="N387">
        <v>22</v>
      </c>
      <c r="O387" t="s">
        <v>24</v>
      </c>
      <c r="P387" t="s">
        <v>40</v>
      </c>
      <c r="Q387" t="s">
        <v>41</v>
      </c>
      <c r="R387" s="7">
        <v>2</v>
      </c>
      <c r="S387" s="7">
        <v>2</v>
      </c>
      <c r="T387" t="s">
        <v>29</v>
      </c>
    </row>
    <row r="388" spans="1:20" x14ac:dyDescent="0.3">
      <c r="A388">
        <v>387</v>
      </c>
      <c r="B388" s="1">
        <v>44927</v>
      </c>
      <c r="C388">
        <v>2023</v>
      </c>
      <c r="D388">
        <v>1</v>
      </c>
      <c r="E388" t="s">
        <v>20</v>
      </c>
      <c r="F388">
        <v>1</v>
      </c>
      <c r="G388" t="s">
        <v>21</v>
      </c>
      <c r="H388" s="2">
        <v>46203.767685185187</v>
      </c>
      <c r="I388">
        <v>16</v>
      </c>
      <c r="J388" t="s">
        <v>120</v>
      </c>
      <c r="K388" s="8">
        <v>1</v>
      </c>
      <c r="L388">
        <v>3</v>
      </c>
      <c r="M388" t="s">
        <v>114</v>
      </c>
      <c r="N388">
        <v>44</v>
      </c>
      <c r="O388" t="s">
        <v>30</v>
      </c>
      <c r="P388" t="s">
        <v>65</v>
      </c>
      <c r="Q388" t="s">
        <v>92</v>
      </c>
      <c r="R388" s="7">
        <v>2.5</v>
      </c>
      <c r="S388" s="7">
        <v>2.5</v>
      </c>
      <c r="T388" t="s">
        <v>29</v>
      </c>
    </row>
    <row r="389" spans="1:20" x14ac:dyDescent="0.3">
      <c r="A389">
        <v>388</v>
      </c>
      <c r="B389" s="1">
        <v>44927</v>
      </c>
      <c r="C389">
        <v>2023</v>
      </c>
      <c r="D389">
        <v>1</v>
      </c>
      <c r="E389" t="s">
        <v>20</v>
      </c>
      <c r="F389">
        <v>1</v>
      </c>
      <c r="G389" t="s">
        <v>21</v>
      </c>
      <c r="H389" s="2">
        <v>46203.769236111111</v>
      </c>
      <c r="I389">
        <v>16</v>
      </c>
      <c r="J389" t="s">
        <v>120</v>
      </c>
      <c r="K389" s="8">
        <v>1</v>
      </c>
      <c r="L389">
        <v>5</v>
      </c>
      <c r="M389" t="s">
        <v>23</v>
      </c>
      <c r="N389">
        <v>56</v>
      </c>
      <c r="O389" t="s">
        <v>30</v>
      </c>
      <c r="P389" t="s">
        <v>31</v>
      </c>
      <c r="Q389" t="s">
        <v>54</v>
      </c>
      <c r="R389" s="7">
        <v>2.5499999999999998</v>
      </c>
      <c r="S389" s="7">
        <v>2.5499999999999998</v>
      </c>
      <c r="T389" t="s">
        <v>29</v>
      </c>
    </row>
    <row r="390" spans="1:20" x14ac:dyDescent="0.3">
      <c r="A390">
        <v>389</v>
      </c>
      <c r="B390" s="1">
        <v>44927</v>
      </c>
      <c r="C390">
        <v>2023</v>
      </c>
      <c r="D390">
        <v>1</v>
      </c>
      <c r="E390" t="s">
        <v>20</v>
      </c>
      <c r="F390">
        <v>1</v>
      </c>
      <c r="G390" t="s">
        <v>21</v>
      </c>
      <c r="H390" s="2">
        <v>46203.769444444442</v>
      </c>
      <c r="I390">
        <v>16</v>
      </c>
      <c r="J390" t="s">
        <v>120</v>
      </c>
      <c r="K390" s="8">
        <v>2</v>
      </c>
      <c r="L390">
        <v>8</v>
      </c>
      <c r="M390" t="s">
        <v>64</v>
      </c>
      <c r="N390">
        <v>53</v>
      </c>
      <c r="O390" t="s">
        <v>30</v>
      </c>
      <c r="P390" t="s">
        <v>31</v>
      </c>
      <c r="Q390" t="s">
        <v>104</v>
      </c>
      <c r="R390" s="7">
        <v>3</v>
      </c>
      <c r="S390" s="7">
        <v>6</v>
      </c>
      <c r="T390" t="s">
        <v>29</v>
      </c>
    </row>
    <row r="391" spans="1:20" x14ac:dyDescent="0.3">
      <c r="A391">
        <v>390</v>
      </c>
      <c r="B391" s="1">
        <v>44927</v>
      </c>
      <c r="C391">
        <v>2023</v>
      </c>
      <c r="D391">
        <v>1</v>
      </c>
      <c r="E391" t="s">
        <v>20</v>
      </c>
      <c r="F391">
        <v>1</v>
      </c>
      <c r="G391" t="s">
        <v>21</v>
      </c>
      <c r="H391" s="2">
        <v>46203.770104166666</v>
      </c>
      <c r="I391">
        <v>16</v>
      </c>
      <c r="J391" t="s">
        <v>120</v>
      </c>
      <c r="K391" s="8">
        <v>1</v>
      </c>
      <c r="L391">
        <v>5</v>
      </c>
      <c r="M391" t="s">
        <v>23</v>
      </c>
      <c r="N391">
        <v>42</v>
      </c>
      <c r="O391" t="s">
        <v>30</v>
      </c>
      <c r="P391" t="s">
        <v>65</v>
      </c>
      <c r="Q391" t="s">
        <v>66</v>
      </c>
      <c r="R391" s="7">
        <v>2.5</v>
      </c>
      <c r="S391" s="7">
        <v>2.5</v>
      </c>
      <c r="T391" t="s">
        <v>29</v>
      </c>
    </row>
    <row r="392" spans="1:20" x14ac:dyDescent="0.3">
      <c r="A392">
        <v>391</v>
      </c>
      <c r="B392" s="1">
        <v>44927</v>
      </c>
      <c r="C392">
        <v>2023</v>
      </c>
      <c r="D392">
        <v>1</v>
      </c>
      <c r="E392" t="s">
        <v>20</v>
      </c>
      <c r="F392">
        <v>1</v>
      </c>
      <c r="G392" t="s">
        <v>21</v>
      </c>
      <c r="H392" s="2">
        <v>46203.770555555559</v>
      </c>
      <c r="I392">
        <v>16</v>
      </c>
      <c r="J392" t="s">
        <v>120</v>
      </c>
      <c r="K392" s="8">
        <v>2</v>
      </c>
      <c r="L392">
        <v>3</v>
      </c>
      <c r="M392" t="s">
        <v>114</v>
      </c>
      <c r="N392">
        <v>27</v>
      </c>
      <c r="O392" t="s">
        <v>24</v>
      </c>
      <c r="P392" t="s">
        <v>82</v>
      </c>
      <c r="Q392" t="s">
        <v>84</v>
      </c>
      <c r="R392" s="7">
        <v>3.5</v>
      </c>
      <c r="S392" s="7">
        <v>7</v>
      </c>
      <c r="T392" t="s">
        <v>29</v>
      </c>
    </row>
    <row r="393" spans="1:20" x14ac:dyDescent="0.3">
      <c r="A393">
        <v>392</v>
      </c>
      <c r="B393" s="1">
        <v>44927</v>
      </c>
      <c r="C393">
        <v>2023</v>
      </c>
      <c r="D393">
        <v>1</v>
      </c>
      <c r="E393" t="s">
        <v>20</v>
      </c>
      <c r="F393">
        <v>1</v>
      </c>
      <c r="G393" t="s">
        <v>21</v>
      </c>
      <c r="H393" s="2">
        <v>46203.770972222221</v>
      </c>
      <c r="I393">
        <v>16</v>
      </c>
      <c r="J393" t="s">
        <v>120</v>
      </c>
      <c r="K393" s="8">
        <v>1</v>
      </c>
      <c r="L393">
        <v>3</v>
      </c>
      <c r="M393" t="s">
        <v>114</v>
      </c>
      <c r="N393">
        <v>40</v>
      </c>
      <c r="O393" t="s">
        <v>24</v>
      </c>
      <c r="P393" t="s">
        <v>48</v>
      </c>
      <c r="Q393" t="s">
        <v>74</v>
      </c>
      <c r="R393" s="7">
        <v>3.75</v>
      </c>
      <c r="S393" s="7">
        <v>3.75</v>
      </c>
      <c r="T393" t="s">
        <v>29</v>
      </c>
    </row>
    <row r="394" spans="1:20" x14ac:dyDescent="0.3">
      <c r="A394">
        <v>393</v>
      </c>
      <c r="B394" s="1">
        <v>44927</v>
      </c>
      <c r="C394">
        <v>2023</v>
      </c>
      <c r="D394">
        <v>1</v>
      </c>
      <c r="E394" t="s">
        <v>20</v>
      </c>
      <c r="F394">
        <v>1</v>
      </c>
      <c r="G394" t="s">
        <v>21</v>
      </c>
      <c r="H394" s="2">
        <v>46203.773321759261</v>
      </c>
      <c r="I394">
        <v>16</v>
      </c>
      <c r="J394" t="s">
        <v>120</v>
      </c>
      <c r="K394" s="8">
        <v>1</v>
      </c>
      <c r="L394">
        <v>3</v>
      </c>
      <c r="M394" t="s">
        <v>114</v>
      </c>
      <c r="N394">
        <v>35</v>
      </c>
      <c r="O394" t="s">
        <v>24</v>
      </c>
      <c r="P394" t="s">
        <v>99</v>
      </c>
      <c r="Q394" t="s">
        <v>110</v>
      </c>
      <c r="R394" s="7">
        <v>3.1</v>
      </c>
      <c r="S394" s="7">
        <v>3.1</v>
      </c>
      <c r="T394" t="s">
        <v>29</v>
      </c>
    </row>
    <row r="395" spans="1:20" x14ac:dyDescent="0.3">
      <c r="A395">
        <v>394</v>
      </c>
      <c r="B395" s="1">
        <v>44927</v>
      </c>
      <c r="C395">
        <v>2023</v>
      </c>
      <c r="D395">
        <v>1</v>
      </c>
      <c r="E395" t="s">
        <v>20</v>
      </c>
      <c r="F395">
        <v>1</v>
      </c>
      <c r="G395" t="s">
        <v>21</v>
      </c>
      <c r="H395" s="2">
        <v>46203.77443287037</v>
      </c>
      <c r="I395">
        <v>16</v>
      </c>
      <c r="J395" t="s">
        <v>120</v>
      </c>
      <c r="K395" s="8">
        <v>1</v>
      </c>
      <c r="L395">
        <v>5</v>
      </c>
      <c r="M395" t="s">
        <v>23</v>
      </c>
      <c r="N395">
        <v>28</v>
      </c>
      <c r="O395" t="s">
        <v>24</v>
      </c>
      <c r="P395" t="s">
        <v>25</v>
      </c>
      <c r="Q395" t="s">
        <v>46</v>
      </c>
      <c r="R395" s="7">
        <v>2</v>
      </c>
      <c r="S395" s="7">
        <v>2</v>
      </c>
      <c r="T395" t="s">
        <v>29</v>
      </c>
    </row>
    <row r="396" spans="1:20" x14ac:dyDescent="0.3">
      <c r="A396">
        <v>395</v>
      </c>
      <c r="B396" s="1">
        <v>44927</v>
      </c>
      <c r="C396">
        <v>2023</v>
      </c>
      <c r="D396">
        <v>1</v>
      </c>
      <c r="E396" t="s">
        <v>20</v>
      </c>
      <c r="F396">
        <v>1</v>
      </c>
      <c r="G396" t="s">
        <v>21</v>
      </c>
      <c r="H396" s="2">
        <v>46203.777361111112</v>
      </c>
      <c r="I396">
        <v>16</v>
      </c>
      <c r="J396" t="s">
        <v>120</v>
      </c>
      <c r="K396" s="8">
        <v>1</v>
      </c>
      <c r="L396">
        <v>3</v>
      </c>
      <c r="M396" t="s">
        <v>114</v>
      </c>
      <c r="N396">
        <v>36</v>
      </c>
      <c r="O396" t="s">
        <v>24</v>
      </c>
      <c r="P396" t="s">
        <v>99</v>
      </c>
      <c r="Q396" t="s">
        <v>102</v>
      </c>
      <c r="R396" s="7">
        <v>3.75</v>
      </c>
      <c r="S396" s="7">
        <v>3.75</v>
      </c>
      <c r="T396" t="s">
        <v>29</v>
      </c>
    </row>
    <row r="397" spans="1:20" x14ac:dyDescent="0.3">
      <c r="A397">
        <v>396</v>
      </c>
      <c r="B397" s="1">
        <v>44927</v>
      </c>
      <c r="C397">
        <v>2023</v>
      </c>
      <c r="D397">
        <v>1</v>
      </c>
      <c r="E397" t="s">
        <v>20</v>
      </c>
      <c r="F397">
        <v>1</v>
      </c>
      <c r="G397" t="s">
        <v>21</v>
      </c>
      <c r="H397" s="2">
        <v>46203.777395833335</v>
      </c>
      <c r="I397">
        <v>16</v>
      </c>
      <c r="J397" t="s">
        <v>120</v>
      </c>
      <c r="K397" s="8">
        <v>1</v>
      </c>
      <c r="L397">
        <v>8</v>
      </c>
      <c r="M397" t="s">
        <v>64</v>
      </c>
      <c r="N397">
        <v>58</v>
      </c>
      <c r="O397" t="s">
        <v>35</v>
      </c>
      <c r="P397" t="s">
        <v>36</v>
      </c>
      <c r="Q397" t="s">
        <v>51</v>
      </c>
      <c r="R397" s="7">
        <v>3.5</v>
      </c>
      <c r="S397" s="7">
        <v>3.5</v>
      </c>
      <c r="T397" t="s">
        <v>29</v>
      </c>
    </row>
    <row r="398" spans="1:20" x14ac:dyDescent="0.3">
      <c r="A398">
        <v>397</v>
      </c>
      <c r="B398" s="1">
        <v>44927</v>
      </c>
      <c r="C398">
        <v>2023</v>
      </c>
      <c r="D398">
        <v>1</v>
      </c>
      <c r="E398" t="s">
        <v>20</v>
      </c>
      <c r="F398">
        <v>1</v>
      </c>
      <c r="G398" t="s">
        <v>21</v>
      </c>
      <c r="H398" s="2">
        <v>46203.777986111112</v>
      </c>
      <c r="I398">
        <v>16</v>
      </c>
      <c r="J398" t="s">
        <v>120</v>
      </c>
      <c r="K398" s="8">
        <v>1</v>
      </c>
      <c r="L398">
        <v>3</v>
      </c>
      <c r="M398" t="s">
        <v>114</v>
      </c>
      <c r="N398">
        <v>33</v>
      </c>
      <c r="O398" t="s">
        <v>24</v>
      </c>
      <c r="P398" t="s">
        <v>25</v>
      </c>
      <c r="Q398" t="s">
        <v>56</v>
      </c>
      <c r="R398" s="7">
        <v>3.5</v>
      </c>
      <c r="S398" s="7">
        <v>3.5</v>
      </c>
      <c r="T398" t="s">
        <v>29</v>
      </c>
    </row>
    <row r="399" spans="1:20" x14ac:dyDescent="0.3">
      <c r="A399">
        <v>398</v>
      </c>
      <c r="B399" s="1">
        <v>44927</v>
      </c>
      <c r="C399">
        <v>2023</v>
      </c>
      <c r="D399">
        <v>1</v>
      </c>
      <c r="E399" t="s">
        <v>20</v>
      </c>
      <c r="F399">
        <v>1</v>
      </c>
      <c r="G399" t="s">
        <v>21</v>
      </c>
      <c r="H399" s="2">
        <v>46203.777997685182</v>
      </c>
      <c r="I399">
        <v>16</v>
      </c>
      <c r="J399" t="s">
        <v>120</v>
      </c>
      <c r="K399" s="8">
        <v>1</v>
      </c>
      <c r="L399">
        <v>5</v>
      </c>
      <c r="M399" t="s">
        <v>23</v>
      </c>
      <c r="N399">
        <v>46</v>
      </c>
      <c r="O399" t="s">
        <v>30</v>
      </c>
      <c r="P399" t="s">
        <v>60</v>
      </c>
      <c r="Q399" t="s">
        <v>95</v>
      </c>
      <c r="R399" s="7">
        <v>2.5</v>
      </c>
      <c r="S399" s="7">
        <v>2.5</v>
      </c>
      <c r="T399" t="s">
        <v>29</v>
      </c>
    </row>
    <row r="400" spans="1:20" x14ac:dyDescent="0.3">
      <c r="A400">
        <v>399</v>
      </c>
      <c r="B400" s="1">
        <v>44927</v>
      </c>
      <c r="C400">
        <v>2023</v>
      </c>
      <c r="D400">
        <v>1</v>
      </c>
      <c r="E400" t="s">
        <v>20</v>
      </c>
      <c r="F400">
        <v>1</v>
      </c>
      <c r="G400" t="s">
        <v>21</v>
      </c>
      <c r="H400" s="2">
        <v>46203.779062499998</v>
      </c>
      <c r="I400">
        <v>16</v>
      </c>
      <c r="J400" t="s">
        <v>120</v>
      </c>
      <c r="K400" s="8">
        <v>1</v>
      </c>
      <c r="L400">
        <v>5</v>
      </c>
      <c r="M400" t="s">
        <v>23</v>
      </c>
      <c r="N400">
        <v>23</v>
      </c>
      <c r="O400" t="s">
        <v>24</v>
      </c>
      <c r="P400" t="s">
        <v>40</v>
      </c>
      <c r="Q400" t="s">
        <v>94</v>
      </c>
      <c r="R400" s="7">
        <v>2.5</v>
      </c>
      <c r="S400" s="7">
        <v>2.5</v>
      </c>
      <c r="T400" t="s">
        <v>29</v>
      </c>
    </row>
    <row r="401" spans="1:20" x14ac:dyDescent="0.3">
      <c r="A401">
        <v>400</v>
      </c>
      <c r="B401" s="1">
        <v>44927</v>
      </c>
      <c r="C401">
        <v>2023</v>
      </c>
      <c r="D401">
        <v>1</v>
      </c>
      <c r="E401" t="s">
        <v>20</v>
      </c>
      <c r="F401">
        <v>1</v>
      </c>
      <c r="G401" t="s">
        <v>21</v>
      </c>
      <c r="H401" s="2">
        <v>46203.780243055553</v>
      </c>
      <c r="I401">
        <v>16</v>
      </c>
      <c r="J401" t="s">
        <v>120</v>
      </c>
      <c r="K401" s="8">
        <v>2</v>
      </c>
      <c r="L401">
        <v>8</v>
      </c>
      <c r="M401" t="s">
        <v>64</v>
      </c>
      <c r="N401">
        <v>50</v>
      </c>
      <c r="O401" t="s">
        <v>30</v>
      </c>
      <c r="P401" t="s">
        <v>57</v>
      </c>
      <c r="Q401" t="s">
        <v>108</v>
      </c>
      <c r="R401" s="7">
        <v>2.5</v>
      </c>
      <c r="S401" s="7">
        <v>5</v>
      </c>
      <c r="T401" t="s">
        <v>29</v>
      </c>
    </row>
    <row r="402" spans="1:20" x14ac:dyDescent="0.3">
      <c r="A402">
        <v>401</v>
      </c>
      <c r="B402" s="1">
        <v>44927</v>
      </c>
      <c r="C402">
        <v>2023</v>
      </c>
      <c r="D402">
        <v>1</v>
      </c>
      <c r="E402" t="s">
        <v>20</v>
      </c>
      <c r="F402">
        <v>1</v>
      </c>
      <c r="G402" t="s">
        <v>21</v>
      </c>
      <c r="H402" s="2">
        <v>46203.781087962961</v>
      </c>
      <c r="I402">
        <v>16</v>
      </c>
      <c r="J402" t="s">
        <v>120</v>
      </c>
      <c r="K402" s="8">
        <v>2</v>
      </c>
      <c r="L402">
        <v>3</v>
      </c>
      <c r="M402" t="s">
        <v>114</v>
      </c>
      <c r="N402">
        <v>54</v>
      </c>
      <c r="O402" t="s">
        <v>30</v>
      </c>
      <c r="P402" t="s">
        <v>31</v>
      </c>
      <c r="Q402" t="s">
        <v>87</v>
      </c>
      <c r="R402" s="7">
        <v>2.5</v>
      </c>
      <c r="S402" s="7">
        <v>5</v>
      </c>
      <c r="T402" t="s">
        <v>29</v>
      </c>
    </row>
    <row r="403" spans="1:20" x14ac:dyDescent="0.3">
      <c r="A403">
        <v>402</v>
      </c>
      <c r="B403" s="1">
        <v>44927</v>
      </c>
      <c r="C403">
        <v>2023</v>
      </c>
      <c r="D403">
        <v>1</v>
      </c>
      <c r="E403" t="s">
        <v>20</v>
      </c>
      <c r="F403">
        <v>1</v>
      </c>
      <c r="G403" t="s">
        <v>21</v>
      </c>
      <c r="H403" s="2">
        <v>46203.782696759263</v>
      </c>
      <c r="I403">
        <v>16</v>
      </c>
      <c r="J403" t="s">
        <v>120</v>
      </c>
      <c r="K403" s="8">
        <v>1</v>
      </c>
      <c r="L403">
        <v>5</v>
      </c>
      <c r="M403" t="s">
        <v>23</v>
      </c>
      <c r="N403">
        <v>44</v>
      </c>
      <c r="O403" t="s">
        <v>30</v>
      </c>
      <c r="P403" t="s">
        <v>65</v>
      </c>
      <c r="Q403" t="s">
        <v>92</v>
      </c>
      <c r="R403" s="7">
        <v>2.5</v>
      </c>
      <c r="S403" s="7">
        <v>2.5</v>
      </c>
      <c r="T403" t="s">
        <v>29</v>
      </c>
    </row>
    <row r="404" spans="1:20" x14ac:dyDescent="0.3">
      <c r="A404">
        <v>403</v>
      </c>
      <c r="B404" s="1">
        <v>44927</v>
      </c>
      <c r="C404">
        <v>2023</v>
      </c>
      <c r="D404">
        <v>1</v>
      </c>
      <c r="E404" t="s">
        <v>20</v>
      </c>
      <c r="F404">
        <v>1</v>
      </c>
      <c r="G404" t="s">
        <v>21</v>
      </c>
      <c r="H404" s="2">
        <v>46203.782696759263</v>
      </c>
      <c r="I404">
        <v>16</v>
      </c>
      <c r="J404" t="s">
        <v>120</v>
      </c>
      <c r="K404" s="8">
        <v>1</v>
      </c>
      <c r="L404">
        <v>5</v>
      </c>
      <c r="M404" t="s">
        <v>23</v>
      </c>
      <c r="N404">
        <v>72</v>
      </c>
      <c r="O404" t="s">
        <v>43</v>
      </c>
      <c r="P404" t="s">
        <v>44</v>
      </c>
      <c r="Q404" t="s">
        <v>109</v>
      </c>
      <c r="R404" s="7">
        <v>3.25</v>
      </c>
      <c r="S404" s="7">
        <v>3.25</v>
      </c>
      <c r="T404" t="s">
        <v>29</v>
      </c>
    </row>
    <row r="405" spans="1:20" x14ac:dyDescent="0.3">
      <c r="A405">
        <v>404</v>
      </c>
      <c r="B405" s="1">
        <v>44927</v>
      </c>
      <c r="C405">
        <v>2023</v>
      </c>
      <c r="D405">
        <v>1</v>
      </c>
      <c r="E405" t="s">
        <v>20</v>
      </c>
      <c r="F405">
        <v>1</v>
      </c>
      <c r="G405" t="s">
        <v>21</v>
      </c>
      <c r="H405" s="2">
        <v>46203.783692129633</v>
      </c>
      <c r="I405">
        <v>16</v>
      </c>
      <c r="J405" t="s">
        <v>120</v>
      </c>
      <c r="K405" s="8">
        <v>2</v>
      </c>
      <c r="L405">
        <v>5</v>
      </c>
      <c r="M405" t="s">
        <v>23</v>
      </c>
      <c r="N405">
        <v>44</v>
      </c>
      <c r="O405" t="s">
        <v>30</v>
      </c>
      <c r="P405" t="s">
        <v>65</v>
      </c>
      <c r="Q405" t="s">
        <v>92</v>
      </c>
      <c r="R405" s="7">
        <v>2.5</v>
      </c>
      <c r="S405" s="7">
        <v>5</v>
      </c>
      <c r="T405" t="s">
        <v>29</v>
      </c>
    </row>
    <row r="406" spans="1:20" x14ac:dyDescent="0.3">
      <c r="A406">
        <v>405</v>
      </c>
      <c r="B406" s="1">
        <v>44927</v>
      </c>
      <c r="C406">
        <v>2023</v>
      </c>
      <c r="D406">
        <v>1</v>
      </c>
      <c r="E406" t="s">
        <v>20</v>
      </c>
      <c r="F406">
        <v>1</v>
      </c>
      <c r="G406" t="s">
        <v>21</v>
      </c>
      <c r="H406" s="2">
        <v>46203.784247685187</v>
      </c>
      <c r="I406">
        <v>16</v>
      </c>
      <c r="J406" t="s">
        <v>120</v>
      </c>
      <c r="K406" s="8">
        <v>1</v>
      </c>
      <c r="L406">
        <v>5</v>
      </c>
      <c r="M406" t="s">
        <v>23</v>
      </c>
      <c r="N406">
        <v>53</v>
      </c>
      <c r="O406" t="s">
        <v>30</v>
      </c>
      <c r="P406" t="s">
        <v>31</v>
      </c>
      <c r="Q406" t="s">
        <v>104</v>
      </c>
      <c r="R406" s="7">
        <v>3</v>
      </c>
      <c r="S406" s="7">
        <v>3</v>
      </c>
      <c r="T406" t="s">
        <v>29</v>
      </c>
    </row>
    <row r="407" spans="1:20" x14ac:dyDescent="0.3">
      <c r="A407">
        <v>406</v>
      </c>
      <c r="B407" s="1">
        <v>44927</v>
      </c>
      <c r="C407">
        <v>2023</v>
      </c>
      <c r="D407">
        <v>1</v>
      </c>
      <c r="E407" t="s">
        <v>20</v>
      </c>
      <c r="F407">
        <v>1</v>
      </c>
      <c r="G407" t="s">
        <v>21</v>
      </c>
      <c r="H407" s="2">
        <v>46203.784247685187</v>
      </c>
      <c r="I407">
        <v>16</v>
      </c>
      <c r="J407" t="s">
        <v>120</v>
      </c>
      <c r="K407" s="8">
        <v>1</v>
      </c>
      <c r="L407">
        <v>5</v>
      </c>
      <c r="M407" t="s">
        <v>23</v>
      </c>
      <c r="N407">
        <v>71</v>
      </c>
      <c r="O407" t="s">
        <v>43</v>
      </c>
      <c r="P407" t="s">
        <v>78</v>
      </c>
      <c r="Q407" t="s">
        <v>79</v>
      </c>
      <c r="R407" s="7">
        <v>3.75</v>
      </c>
      <c r="S407" s="7">
        <v>3.75</v>
      </c>
      <c r="T407" t="s">
        <v>29</v>
      </c>
    </row>
    <row r="408" spans="1:20" x14ac:dyDescent="0.3">
      <c r="A408">
        <v>407</v>
      </c>
      <c r="B408" s="1">
        <v>44927</v>
      </c>
      <c r="C408">
        <v>2023</v>
      </c>
      <c r="D408">
        <v>1</v>
      </c>
      <c r="E408" t="s">
        <v>20</v>
      </c>
      <c r="F408">
        <v>1</v>
      </c>
      <c r="G408" t="s">
        <v>21</v>
      </c>
      <c r="H408" s="2">
        <v>46203.784467592595</v>
      </c>
      <c r="I408">
        <v>16</v>
      </c>
      <c r="J408" t="s">
        <v>120</v>
      </c>
      <c r="K408" s="8">
        <v>1</v>
      </c>
      <c r="L408">
        <v>3</v>
      </c>
      <c r="M408" t="s">
        <v>114</v>
      </c>
      <c r="N408">
        <v>52</v>
      </c>
      <c r="O408" t="s">
        <v>30</v>
      </c>
      <c r="P408" t="s">
        <v>31</v>
      </c>
      <c r="Q408" t="s">
        <v>118</v>
      </c>
      <c r="R408" s="7">
        <v>2.5</v>
      </c>
      <c r="S408" s="7">
        <v>2.5</v>
      </c>
      <c r="T408" t="s">
        <v>29</v>
      </c>
    </row>
    <row r="409" spans="1:20" x14ac:dyDescent="0.3">
      <c r="A409">
        <v>408</v>
      </c>
      <c r="B409" s="1">
        <v>44927</v>
      </c>
      <c r="C409">
        <v>2023</v>
      </c>
      <c r="D409">
        <v>1</v>
      </c>
      <c r="E409" t="s">
        <v>20</v>
      </c>
      <c r="F409">
        <v>1</v>
      </c>
      <c r="G409" t="s">
        <v>21</v>
      </c>
      <c r="H409" s="2">
        <v>46203.786261574074</v>
      </c>
      <c r="I409">
        <v>16</v>
      </c>
      <c r="J409" t="s">
        <v>120</v>
      </c>
      <c r="K409" s="8">
        <v>2</v>
      </c>
      <c r="L409">
        <v>8</v>
      </c>
      <c r="M409" t="s">
        <v>64</v>
      </c>
      <c r="N409">
        <v>42</v>
      </c>
      <c r="O409" t="s">
        <v>30</v>
      </c>
      <c r="P409" t="s">
        <v>65</v>
      </c>
      <c r="Q409" t="s">
        <v>66</v>
      </c>
      <c r="R409" s="7">
        <v>2.5</v>
      </c>
      <c r="S409" s="7">
        <v>5</v>
      </c>
      <c r="T409" t="s">
        <v>29</v>
      </c>
    </row>
    <row r="410" spans="1:20" x14ac:dyDescent="0.3">
      <c r="A410">
        <v>409</v>
      </c>
      <c r="B410" s="1">
        <v>44927</v>
      </c>
      <c r="C410">
        <v>2023</v>
      </c>
      <c r="D410">
        <v>1</v>
      </c>
      <c r="E410" t="s">
        <v>20</v>
      </c>
      <c r="F410">
        <v>1</v>
      </c>
      <c r="G410" t="s">
        <v>21</v>
      </c>
      <c r="H410" s="2">
        <v>46203.78670138889</v>
      </c>
      <c r="I410">
        <v>16</v>
      </c>
      <c r="J410" t="s">
        <v>120</v>
      </c>
      <c r="K410" s="8">
        <v>1</v>
      </c>
      <c r="L410">
        <v>5</v>
      </c>
      <c r="M410" t="s">
        <v>23</v>
      </c>
      <c r="N410">
        <v>50</v>
      </c>
      <c r="O410" t="s">
        <v>30</v>
      </c>
      <c r="P410" t="s">
        <v>57</v>
      </c>
      <c r="Q410" t="s">
        <v>108</v>
      </c>
      <c r="R410" s="7">
        <v>2.5</v>
      </c>
      <c r="S410" s="7">
        <v>2.5</v>
      </c>
      <c r="T410" t="s">
        <v>29</v>
      </c>
    </row>
    <row r="411" spans="1:20" x14ac:dyDescent="0.3">
      <c r="A411">
        <v>410</v>
      </c>
      <c r="B411" s="1">
        <v>44927</v>
      </c>
      <c r="C411">
        <v>2023</v>
      </c>
      <c r="D411">
        <v>1</v>
      </c>
      <c r="E411" t="s">
        <v>20</v>
      </c>
      <c r="F411">
        <v>1</v>
      </c>
      <c r="G411" t="s">
        <v>21</v>
      </c>
      <c r="H411" s="2">
        <v>46203.789444444446</v>
      </c>
      <c r="I411">
        <v>16</v>
      </c>
      <c r="J411" t="s">
        <v>120</v>
      </c>
      <c r="K411" s="8">
        <v>1</v>
      </c>
      <c r="L411">
        <v>3</v>
      </c>
      <c r="M411" t="s">
        <v>114</v>
      </c>
      <c r="N411">
        <v>28</v>
      </c>
      <c r="O411" t="s">
        <v>24</v>
      </c>
      <c r="P411" t="s">
        <v>25</v>
      </c>
      <c r="Q411" t="s">
        <v>46</v>
      </c>
      <c r="R411" s="7">
        <v>2</v>
      </c>
      <c r="S411" s="7">
        <v>2</v>
      </c>
      <c r="T411" t="s">
        <v>29</v>
      </c>
    </row>
    <row r="412" spans="1:20" x14ac:dyDescent="0.3">
      <c r="A412">
        <v>411</v>
      </c>
      <c r="B412" s="1">
        <v>44927</v>
      </c>
      <c r="C412">
        <v>2023</v>
      </c>
      <c r="D412">
        <v>1</v>
      </c>
      <c r="E412" t="s">
        <v>20</v>
      </c>
      <c r="F412">
        <v>1</v>
      </c>
      <c r="G412" t="s">
        <v>21</v>
      </c>
      <c r="H412" s="2">
        <v>46203.790763888886</v>
      </c>
      <c r="I412">
        <v>16</v>
      </c>
      <c r="J412" t="s">
        <v>120</v>
      </c>
      <c r="K412" s="8">
        <v>1</v>
      </c>
      <c r="L412">
        <v>3</v>
      </c>
      <c r="M412" t="s">
        <v>114</v>
      </c>
      <c r="N412">
        <v>58</v>
      </c>
      <c r="O412" t="s">
        <v>35</v>
      </c>
      <c r="P412" t="s">
        <v>36</v>
      </c>
      <c r="Q412" t="s">
        <v>51</v>
      </c>
      <c r="R412" s="7">
        <v>3.5</v>
      </c>
      <c r="S412" s="7">
        <v>3.5</v>
      </c>
      <c r="T412" t="s">
        <v>29</v>
      </c>
    </row>
    <row r="413" spans="1:20" x14ac:dyDescent="0.3">
      <c r="A413">
        <v>412</v>
      </c>
      <c r="B413" s="1">
        <v>44927</v>
      </c>
      <c r="C413">
        <v>2023</v>
      </c>
      <c r="D413">
        <v>1</v>
      </c>
      <c r="E413" t="s">
        <v>20</v>
      </c>
      <c r="F413">
        <v>1</v>
      </c>
      <c r="G413" t="s">
        <v>21</v>
      </c>
      <c r="H413" s="2">
        <v>46203.790763888886</v>
      </c>
      <c r="I413">
        <v>16</v>
      </c>
      <c r="J413" t="s">
        <v>120</v>
      </c>
      <c r="K413" s="8">
        <v>1</v>
      </c>
      <c r="L413">
        <v>3</v>
      </c>
      <c r="M413" t="s">
        <v>114</v>
      </c>
      <c r="N413">
        <v>69</v>
      </c>
      <c r="O413" t="s">
        <v>43</v>
      </c>
      <c r="P413" t="s">
        <v>71</v>
      </c>
      <c r="Q413" t="s">
        <v>72</v>
      </c>
      <c r="R413" s="7">
        <v>3.25</v>
      </c>
      <c r="S413" s="7">
        <v>3.25</v>
      </c>
      <c r="T413" t="s">
        <v>29</v>
      </c>
    </row>
    <row r="414" spans="1:20" x14ac:dyDescent="0.3">
      <c r="A414">
        <v>413</v>
      </c>
      <c r="B414" s="1">
        <v>44927</v>
      </c>
      <c r="C414">
        <v>2023</v>
      </c>
      <c r="D414">
        <v>1</v>
      </c>
      <c r="E414" t="s">
        <v>20</v>
      </c>
      <c r="F414">
        <v>1</v>
      </c>
      <c r="G414" t="s">
        <v>21</v>
      </c>
      <c r="H414" s="2">
        <v>46203.792395833334</v>
      </c>
      <c r="I414">
        <v>17</v>
      </c>
      <c r="J414" t="s">
        <v>123</v>
      </c>
      <c r="K414" s="8">
        <v>2</v>
      </c>
      <c r="L414">
        <v>5</v>
      </c>
      <c r="M414" t="s">
        <v>23</v>
      </c>
      <c r="N414">
        <v>36</v>
      </c>
      <c r="O414" t="s">
        <v>24</v>
      </c>
      <c r="P414" t="s">
        <v>99</v>
      </c>
      <c r="Q414" t="s">
        <v>102</v>
      </c>
      <c r="R414" s="7">
        <v>3.75</v>
      </c>
      <c r="S414" s="7">
        <v>7.5</v>
      </c>
      <c r="T414" t="s">
        <v>29</v>
      </c>
    </row>
    <row r="415" spans="1:20" x14ac:dyDescent="0.3">
      <c r="A415">
        <v>414</v>
      </c>
      <c r="B415" s="1">
        <v>44927</v>
      </c>
      <c r="C415">
        <v>2023</v>
      </c>
      <c r="D415">
        <v>1</v>
      </c>
      <c r="E415" t="s">
        <v>20</v>
      </c>
      <c r="F415">
        <v>1</v>
      </c>
      <c r="G415" t="s">
        <v>21</v>
      </c>
      <c r="H415" s="2">
        <v>46203.792719907404</v>
      </c>
      <c r="I415">
        <v>17</v>
      </c>
      <c r="J415" t="s">
        <v>123</v>
      </c>
      <c r="K415" s="8">
        <v>2</v>
      </c>
      <c r="L415">
        <v>8</v>
      </c>
      <c r="M415" t="s">
        <v>64</v>
      </c>
      <c r="N415">
        <v>50</v>
      </c>
      <c r="O415" t="s">
        <v>30</v>
      </c>
      <c r="P415" t="s">
        <v>57</v>
      </c>
      <c r="Q415" t="s">
        <v>108</v>
      </c>
      <c r="R415" s="7">
        <v>2.5</v>
      </c>
      <c r="S415" s="7">
        <v>5</v>
      </c>
      <c r="T415" t="s">
        <v>29</v>
      </c>
    </row>
    <row r="416" spans="1:20" x14ac:dyDescent="0.3">
      <c r="A416">
        <v>415</v>
      </c>
      <c r="B416" s="1">
        <v>44927</v>
      </c>
      <c r="C416">
        <v>2023</v>
      </c>
      <c r="D416">
        <v>1</v>
      </c>
      <c r="E416" t="s">
        <v>20</v>
      </c>
      <c r="F416">
        <v>1</v>
      </c>
      <c r="G416" t="s">
        <v>21</v>
      </c>
      <c r="H416" s="2">
        <v>46203.793993055559</v>
      </c>
      <c r="I416">
        <v>17</v>
      </c>
      <c r="J416" t="s">
        <v>123</v>
      </c>
      <c r="K416" s="8">
        <v>1</v>
      </c>
      <c r="L416">
        <v>3</v>
      </c>
      <c r="M416" t="s">
        <v>114</v>
      </c>
      <c r="N416">
        <v>50</v>
      </c>
      <c r="O416" t="s">
        <v>30</v>
      </c>
      <c r="P416" t="s">
        <v>57</v>
      </c>
      <c r="Q416" t="s">
        <v>108</v>
      </c>
      <c r="R416" s="7">
        <v>2.5</v>
      </c>
      <c r="S416" s="7">
        <v>2.5</v>
      </c>
      <c r="T416" t="s">
        <v>29</v>
      </c>
    </row>
    <row r="417" spans="1:20" x14ac:dyDescent="0.3">
      <c r="A417">
        <v>416</v>
      </c>
      <c r="B417" s="1">
        <v>44927</v>
      </c>
      <c r="C417">
        <v>2023</v>
      </c>
      <c r="D417">
        <v>1</v>
      </c>
      <c r="E417" t="s">
        <v>20</v>
      </c>
      <c r="F417">
        <v>1</v>
      </c>
      <c r="G417" t="s">
        <v>21</v>
      </c>
      <c r="H417" s="2">
        <v>46203.795648148145</v>
      </c>
      <c r="I417">
        <v>17</v>
      </c>
      <c r="J417" t="s">
        <v>123</v>
      </c>
      <c r="K417" s="8">
        <v>2</v>
      </c>
      <c r="L417">
        <v>3</v>
      </c>
      <c r="M417" t="s">
        <v>114</v>
      </c>
      <c r="N417">
        <v>36</v>
      </c>
      <c r="O417" t="s">
        <v>24</v>
      </c>
      <c r="P417" t="s">
        <v>99</v>
      </c>
      <c r="Q417" t="s">
        <v>102</v>
      </c>
      <c r="R417" s="7">
        <v>3.75</v>
      </c>
      <c r="S417" s="7">
        <v>7.5</v>
      </c>
      <c r="T417" t="s">
        <v>29</v>
      </c>
    </row>
    <row r="418" spans="1:20" x14ac:dyDescent="0.3">
      <c r="A418">
        <v>417</v>
      </c>
      <c r="B418" s="1">
        <v>44927</v>
      </c>
      <c r="C418">
        <v>2023</v>
      </c>
      <c r="D418">
        <v>1</v>
      </c>
      <c r="E418" t="s">
        <v>20</v>
      </c>
      <c r="F418">
        <v>1</v>
      </c>
      <c r="G418" t="s">
        <v>21</v>
      </c>
      <c r="H418" s="2">
        <v>46203.798125000001</v>
      </c>
      <c r="I418">
        <v>17</v>
      </c>
      <c r="J418" t="s">
        <v>123</v>
      </c>
      <c r="K418" s="8">
        <v>2</v>
      </c>
      <c r="L418">
        <v>8</v>
      </c>
      <c r="M418" t="s">
        <v>64</v>
      </c>
      <c r="N418">
        <v>47</v>
      </c>
      <c r="O418" t="s">
        <v>30</v>
      </c>
      <c r="P418" t="s">
        <v>60</v>
      </c>
      <c r="Q418" t="s">
        <v>61</v>
      </c>
      <c r="R418" s="7">
        <v>3</v>
      </c>
      <c r="S418" s="7">
        <v>6</v>
      </c>
      <c r="T418" t="s">
        <v>29</v>
      </c>
    </row>
    <row r="419" spans="1:20" x14ac:dyDescent="0.3">
      <c r="A419">
        <v>418</v>
      </c>
      <c r="B419" s="1">
        <v>44927</v>
      </c>
      <c r="C419">
        <v>2023</v>
      </c>
      <c r="D419">
        <v>1</v>
      </c>
      <c r="E419" t="s">
        <v>20</v>
      </c>
      <c r="F419">
        <v>1</v>
      </c>
      <c r="G419" t="s">
        <v>21</v>
      </c>
      <c r="H419" s="2">
        <v>46203.799004629633</v>
      </c>
      <c r="I419">
        <v>17</v>
      </c>
      <c r="J419" t="s">
        <v>123</v>
      </c>
      <c r="K419" s="8">
        <v>1</v>
      </c>
      <c r="L419">
        <v>3</v>
      </c>
      <c r="M419" t="s">
        <v>114</v>
      </c>
      <c r="N419">
        <v>27</v>
      </c>
      <c r="O419" t="s">
        <v>24</v>
      </c>
      <c r="P419" t="s">
        <v>82</v>
      </c>
      <c r="Q419" t="s">
        <v>84</v>
      </c>
      <c r="R419" s="7">
        <v>3.5</v>
      </c>
      <c r="S419" s="7">
        <v>3.5</v>
      </c>
      <c r="T419" t="s">
        <v>29</v>
      </c>
    </row>
    <row r="420" spans="1:20" x14ac:dyDescent="0.3">
      <c r="A420">
        <v>419</v>
      </c>
      <c r="B420" s="1">
        <v>44927</v>
      </c>
      <c r="C420">
        <v>2023</v>
      </c>
      <c r="D420">
        <v>1</v>
      </c>
      <c r="E420" t="s">
        <v>20</v>
      </c>
      <c r="F420">
        <v>1</v>
      </c>
      <c r="G420" t="s">
        <v>21</v>
      </c>
      <c r="H420" s="2">
        <v>46203.799016203702</v>
      </c>
      <c r="I420">
        <v>17</v>
      </c>
      <c r="J420" t="s">
        <v>123</v>
      </c>
      <c r="K420" s="8">
        <v>1</v>
      </c>
      <c r="L420">
        <v>3</v>
      </c>
      <c r="M420" t="s">
        <v>114</v>
      </c>
      <c r="N420">
        <v>59</v>
      </c>
      <c r="O420" t="s">
        <v>35</v>
      </c>
      <c r="P420" t="s">
        <v>36</v>
      </c>
      <c r="Q420" t="s">
        <v>37</v>
      </c>
      <c r="R420" s="7">
        <v>4.5</v>
      </c>
      <c r="S420" s="7">
        <v>4.5</v>
      </c>
      <c r="T420" t="s">
        <v>29</v>
      </c>
    </row>
    <row r="421" spans="1:20" x14ac:dyDescent="0.3">
      <c r="A421">
        <v>420</v>
      </c>
      <c r="B421" s="1">
        <v>44927</v>
      </c>
      <c r="C421">
        <v>2023</v>
      </c>
      <c r="D421">
        <v>1</v>
      </c>
      <c r="E421" t="s">
        <v>20</v>
      </c>
      <c r="F421">
        <v>1</v>
      </c>
      <c r="G421" t="s">
        <v>21</v>
      </c>
      <c r="H421" s="2">
        <v>46203.799976851849</v>
      </c>
      <c r="I421">
        <v>17</v>
      </c>
      <c r="J421" t="s">
        <v>123</v>
      </c>
      <c r="K421" s="8">
        <v>2</v>
      </c>
      <c r="L421">
        <v>8</v>
      </c>
      <c r="M421" t="s">
        <v>64</v>
      </c>
      <c r="N421">
        <v>36</v>
      </c>
      <c r="O421" t="s">
        <v>24</v>
      </c>
      <c r="P421" t="s">
        <v>99</v>
      </c>
      <c r="Q421" t="s">
        <v>102</v>
      </c>
      <c r="R421" s="7">
        <v>3.75</v>
      </c>
      <c r="S421" s="7">
        <v>7.5</v>
      </c>
      <c r="T421" t="s">
        <v>29</v>
      </c>
    </row>
    <row r="422" spans="1:20" x14ac:dyDescent="0.3">
      <c r="A422">
        <v>421</v>
      </c>
      <c r="B422" s="1">
        <v>44927</v>
      </c>
      <c r="C422">
        <v>2023</v>
      </c>
      <c r="D422">
        <v>1</v>
      </c>
      <c r="E422" t="s">
        <v>20</v>
      </c>
      <c r="F422">
        <v>1</v>
      </c>
      <c r="G422" t="s">
        <v>21</v>
      </c>
      <c r="H422" s="2">
        <v>46203.800891203704</v>
      </c>
      <c r="I422">
        <v>17</v>
      </c>
      <c r="J422" t="s">
        <v>123</v>
      </c>
      <c r="K422" s="8">
        <v>2</v>
      </c>
      <c r="L422">
        <v>5</v>
      </c>
      <c r="M422" t="s">
        <v>23</v>
      </c>
      <c r="N422">
        <v>31</v>
      </c>
      <c r="O422" t="s">
        <v>24</v>
      </c>
      <c r="P422" t="s">
        <v>25</v>
      </c>
      <c r="Q422" t="s">
        <v>116</v>
      </c>
      <c r="R422" s="7">
        <v>2.2000000000000002</v>
      </c>
      <c r="S422" s="7">
        <v>4.4000000000000004</v>
      </c>
      <c r="T422" t="s">
        <v>29</v>
      </c>
    </row>
    <row r="423" spans="1:20" x14ac:dyDescent="0.3">
      <c r="A423">
        <v>422</v>
      </c>
      <c r="B423" s="1">
        <v>44927</v>
      </c>
      <c r="C423">
        <v>2023</v>
      </c>
      <c r="D423">
        <v>1</v>
      </c>
      <c r="E423" t="s">
        <v>20</v>
      </c>
      <c r="F423">
        <v>1</v>
      </c>
      <c r="G423" t="s">
        <v>21</v>
      </c>
      <c r="H423" s="2">
        <v>46203.802974537037</v>
      </c>
      <c r="I423">
        <v>17</v>
      </c>
      <c r="J423" t="s">
        <v>123</v>
      </c>
      <c r="K423" s="8">
        <v>1</v>
      </c>
      <c r="L423">
        <v>8</v>
      </c>
      <c r="M423" t="s">
        <v>64</v>
      </c>
      <c r="N423">
        <v>35</v>
      </c>
      <c r="O423" t="s">
        <v>24</v>
      </c>
      <c r="P423" t="s">
        <v>99</v>
      </c>
      <c r="Q423" t="s">
        <v>110</v>
      </c>
      <c r="R423" s="7">
        <v>3.1</v>
      </c>
      <c r="S423" s="7">
        <v>3.1</v>
      </c>
      <c r="T423" t="s">
        <v>29</v>
      </c>
    </row>
    <row r="424" spans="1:20" x14ac:dyDescent="0.3">
      <c r="A424">
        <v>423</v>
      </c>
      <c r="B424" s="1">
        <v>44927</v>
      </c>
      <c r="C424">
        <v>2023</v>
      </c>
      <c r="D424">
        <v>1</v>
      </c>
      <c r="E424" t="s">
        <v>20</v>
      </c>
      <c r="F424">
        <v>1</v>
      </c>
      <c r="G424" t="s">
        <v>21</v>
      </c>
      <c r="H424" s="2">
        <v>46203.80369212963</v>
      </c>
      <c r="I424">
        <v>17</v>
      </c>
      <c r="J424" t="s">
        <v>123</v>
      </c>
      <c r="K424" s="8">
        <v>2</v>
      </c>
      <c r="L424">
        <v>8</v>
      </c>
      <c r="M424" t="s">
        <v>64</v>
      </c>
      <c r="N424">
        <v>55</v>
      </c>
      <c r="O424" t="s">
        <v>30</v>
      </c>
      <c r="P424" t="s">
        <v>31</v>
      </c>
      <c r="Q424" t="s">
        <v>88</v>
      </c>
      <c r="R424" s="7">
        <v>4</v>
      </c>
      <c r="S424" s="7">
        <v>8</v>
      </c>
      <c r="T424" t="s">
        <v>29</v>
      </c>
    </row>
    <row r="425" spans="1:20" x14ac:dyDescent="0.3">
      <c r="A425">
        <v>424</v>
      </c>
      <c r="B425" s="1">
        <v>44927</v>
      </c>
      <c r="C425">
        <v>2023</v>
      </c>
      <c r="D425">
        <v>1</v>
      </c>
      <c r="E425" t="s">
        <v>20</v>
      </c>
      <c r="F425">
        <v>1</v>
      </c>
      <c r="G425" t="s">
        <v>21</v>
      </c>
      <c r="H425" s="2">
        <v>46203.803726851853</v>
      </c>
      <c r="I425">
        <v>17</v>
      </c>
      <c r="J425" t="s">
        <v>123</v>
      </c>
      <c r="K425" s="8">
        <v>1</v>
      </c>
      <c r="L425">
        <v>8</v>
      </c>
      <c r="M425" t="s">
        <v>64</v>
      </c>
      <c r="N425">
        <v>31</v>
      </c>
      <c r="O425" t="s">
        <v>24</v>
      </c>
      <c r="P425" t="s">
        <v>25</v>
      </c>
      <c r="Q425" t="s">
        <v>116</v>
      </c>
      <c r="R425" s="7">
        <v>2.2000000000000002</v>
      </c>
      <c r="S425" s="7">
        <v>2.2000000000000002</v>
      </c>
      <c r="T425" t="s">
        <v>29</v>
      </c>
    </row>
    <row r="426" spans="1:20" x14ac:dyDescent="0.3">
      <c r="A426">
        <v>425</v>
      </c>
      <c r="B426" s="1">
        <v>44927</v>
      </c>
      <c r="C426">
        <v>2023</v>
      </c>
      <c r="D426">
        <v>1</v>
      </c>
      <c r="E426" t="s">
        <v>20</v>
      </c>
      <c r="F426">
        <v>1</v>
      </c>
      <c r="G426" t="s">
        <v>21</v>
      </c>
      <c r="H426" s="2">
        <v>46203.804583333331</v>
      </c>
      <c r="I426">
        <v>17</v>
      </c>
      <c r="J426" t="s">
        <v>123</v>
      </c>
      <c r="K426" s="8">
        <v>1</v>
      </c>
      <c r="L426">
        <v>3</v>
      </c>
      <c r="M426" t="s">
        <v>114</v>
      </c>
      <c r="N426">
        <v>29</v>
      </c>
      <c r="O426" t="s">
        <v>24</v>
      </c>
      <c r="P426" t="s">
        <v>25</v>
      </c>
      <c r="Q426" t="s">
        <v>85</v>
      </c>
      <c r="R426" s="7">
        <v>2.5</v>
      </c>
      <c r="S426" s="7">
        <v>2.5</v>
      </c>
      <c r="T426" t="s">
        <v>29</v>
      </c>
    </row>
    <row r="427" spans="1:20" x14ac:dyDescent="0.3">
      <c r="A427">
        <v>426</v>
      </c>
      <c r="B427" s="1">
        <v>44927</v>
      </c>
      <c r="C427">
        <v>2023</v>
      </c>
      <c r="D427">
        <v>1</v>
      </c>
      <c r="E427" t="s">
        <v>20</v>
      </c>
      <c r="F427">
        <v>1</v>
      </c>
      <c r="G427" t="s">
        <v>21</v>
      </c>
      <c r="H427" s="2">
        <v>46203.8049537037</v>
      </c>
      <c r="I427">
        <v>17</v>
      </c>
      <c r="J427" t="s">
        <v>123</v>
      </c>
      <c r="K427" s="8">
        <v>2</v>
      </c>
      <c r="L427">
        <v>5</v>
      </c>
      <c r="M427" t="s">
        <v>23</v>
      </c>
      <c r="N427">
        <v>34</v>
      </c>
      <c r="O427" t="s">
        <v>24</v>
      </c>
      <c r="P427" t="s">
        <v>99</v>
      </c>
      <c r="Q427" t="s">
        <v>100</v>
      </c>
      <c r="R427" s="7">
        <v>2.4500000000000002</v>
      </c>
      <c r="S427" s="7">
        <v>4.9000000000000004</v>
      </c>
      <c r="T427" t="s">
        <v>29</v>
      </c>
    </row>
    <row r="428" spans="1:20" x14ac:dyDescent="0.3">
      <c r="A428">
        <v>427</v>
      </c>
      <c r="B428" s="1">
        <v>44927</v>
      </c>
      <c r="C428">
        <v>2023</v>
      </c>
      <c r="D428">
        <v>1</v>
      </c>
      <c r="E428" t="s">
        <v>20</v>
      </c>
      <c r="F428">
        <v>1</v>
      </c>
      <c r="G428" t="s">
        <v>21</v>
      </c>
      <c r="H428" s="2">
        <v>46203.8049537037</v>
      </c>
      <c r="I428">
        <v>17</v>
      </c>
      <c r="J428" t="s">
        <v>123</v>
      </c>
      <c r="K428" s="8">
        <v>1</v>
      </c>
      <c r="L428">
        <v>5</v>
      </c>
      <c r="M428" t="s">
        <v>23</v>
      </c>
      <c r="N428">
        <v>75</v>
      </c>
      <c r="O428" t="s">
        <v>43</v>
      </c>
      <c r="P428" t="s">
        <v>78</v>
      </c>
      <c r="Q428" t="s">
        <v>115</v>
      </c>
      <c r="R428" s="7">
        <v>3.5</v>
      </c>
      <c r="S428" s="7">
        <v>3.5</v>
      </c>
      <c r="T428" t="s">
        <v>29</v>
      </c>
    </row>
    <row r="429" spans="1:20" x14ac:dyDescent="0.3">
      <c r="A429">
        <v>428</v>
      </c>
      <c r="B429" s="1">
        <v>44927</v>
      </c>
      <c r="C429">
        <v>2023</v>
      </c>
      <c r="D429">
        <v>1</v>
      </c>
      <c r="E429" t="s">
        <v>20</v>
      </c>
      <c r="F429">
        <v>1</v>
      </c>
      <c r="G429" t="s">
        <v>21</v>
      </c>
      <c r="H429" s="2">
        <v>46203.804988425924</v>
      </c>
      <c r="I429">
        <v>17</v>
      </c>
      <c r="J429" t="s">
        <v>123</v>
      </c>
      <c r="K429" s="8">
        <v>2</v>
      </c>
      <c r="L429">
        <v>8</v>
      </c>
      <c r="M429" t="s">
        <v>64</v>
      </c>
      <c r="N429">
        <v>39</v>
      </c>
      <c r="O429" t="s">
        <v>24</v>
      </c>
      <c r="P429" t="s">
        <v>48</v>
      </c>
      <c r="Q429" t="s">
        <v>49</v>
      </c>
      <c r="R429" s="7">
        <v>4.25</v>
      </c>
      <c r="S429" s="7">
        <v>8.5</v>
      </c>
      <c r="T429" t="s">
        <v>29</v>
      </c>
    </row>
    <row r="430" spans="1:20" x14ac:dyDescent="0.3">
      <c r="A430">
        <v>429</v>
      </c>
      <c r="B430" s="1">
        <v>44927</v>
      </c>
      <c r="C430">
        <v>2023</v>
      </c>
      <c r="D430">
        <v>1</v>
      </c>
      <c r="E430" t="s">
        <v>20</v>
      </c>
      <c r="F430">
        <v>1</v>
      </c>
      <c r="G430" t="s">
        <v>21</v>
      </c>
      <c r="H430" s="2">
        <v>46203.805185185185</v>
      </c>
      <c r="I430">
        <v>17</v>
      </c>
      <c r="J430" t="s">
        <v>123</v>
      </c>
      <c r="K430" s="8">
        <v>2</v>
      </c>
      <c r="L430">
        <v>8</v>
      </c>
      <c r="M430" t="s">
        <v>64</v>
      </c>
      <c r="N430">
        <v>28</v>
      </c>
      <c r="O430" t="s">
        <v>24</v>
      </c>
      <c r="P430" t="s">
        <v>25</v>
      </c>
      <c r="Q430" t="s">
        <v>46</v>
      </c>
      <c r="R430" s="7">
        <v>2</v>
      </c>
      <c r="S430" s="7">
        <v>4</v>
      </c>
      <c r="T430" t="s">
        <v>29</v>
      </c>
    </row>
    <row r="431" spans="1:20" x14ac:dyDescent="0.3">
      <c r="A431">
        <v>430</v>
      </c>
      <c r="B431" s="1">
        <v>44927</v>
      </c>
      <c r="C431">
        <v>2023</v>
      </c>
      <c r="D431">
        <v>1</v>
      </c>
      <c r="E431" t="s">
        <v>20</v>
      </c>
      <c r="F431">
        <v>1</v>
      </c>
      <c r="G431" t="s">
        <v>21</v>
      </c>
      <c r="H431" s="2">
        <v>46203.805428240739</v>
      </c>
      <c r="I431">
        <v>17</v>
      </c>
      <c r="J431" t="s">
        <v>123</v>
      </c>
      <c r="K431" s="8">
        <v>2</v>
      </c>
      <c r="L431">
        <v>8</v>
      </c>
      <c r="M431" t="s">
        <v>64</v>
      </c>
      <c r="N431">
        <v>87</v>
      </c>
      <c r="O431" t="s">
        <v>24</v>
      </c>
      <c r="P431" t="s">
        <v>48</v>
      </c>
      <c r="Q431" t="s">
        <v>59</v>
      </c>
      <c r="R431" s="7">
        <v>3</v>
      </c>
      <c r="S431" s="7">
        <v>6</v>
      </c>
      <c r="T431" t="s">
        <v>29</v>
      </c>
    </row>
    <row r="432" spans="1:20" x14ac:dyDescent="0.3">
      <c r="A432">
        <v>431</v>
      </c>
      <c r="B432" s="1">
        <v>44927</v>
      </c>
      <c r="C432">
        <v>2023</v>
      </c>
      <c r="D432">
        <v>1</v>
      </c>
      <c r="E432" t="s">
        <v>20</v>
      </c>
      <c r="F432">
        <v>1</v>
      </c>
      <c r="G432" t="s">
        <v>21</v>
      </c>
      <c r="H432" s="2">
        <v>46203.805428240739</v>
      </c>
      <c r="I432">
        <v>17</v>
      </c>
      <c r="J432" t="s">
        <v>123</v>
      </c>
      <c r="K432" s="8">
        <v>1</v>
      </c>
      <c r="L432">
        <v>8</v>
      </c>
      <c r="M432" t="s">
        <v>64</v>
      </c>
      <c r="N432">
        <v>78</v>
      </c>
      <c r="O432" t="s">
        <v>43</v>
      </c>
      <c r="P432" t="s">
        <v>44</v>
      </c>
      <c r="Q432" t="s">
        <v>91</v>
      </c>
      <c r="R432" s="7">
        <v>4.5</v>
      </c>
      <c r="S432" s="7">
        <v>4.5</v>
      </c>
      <c r="T432" t="s">
        <v>29</v>
      </c>
    </row>
    <row r="433" spans="1:20" x14ac:dyDescent="0.3">
      <c r="A433">
        <v>432</v>
      </c>
      <c r="B433" s="1">
        <v>44927</v>
      </c>
      <c r="C433">
        <v>2023</v>
      </c>
      <c r="D433">
        <v>1</v>
      </c>
      <c r="E433" t="s">
        <v>20</v>
      </c>
      <c r="F433">
        <v>1</v>
      </c>
      <c r="G433" t="s">
        <v>21</v>
      </c>
      <c r="H433" s="2">
        <v>46203.805578703701</v>
      </c>
      <c r="I433">
        <v>17</v>
      </c>
      <c r="J433" t="s">
        <v>123</v>
      </c>
      <c r="K433" s="8">
        <v>2</v>
      </c>
      <c r="L433">
        <v>8</v>
      </c>
      <c r="M433" t="s">
        <v>64</v>
      </c>
      <c r="N433">
        <v>46</v>
      </c>
      <c r="O433" t="s">
        <v>30</v>
      </c>
      <c r="P433" t="s">
        <v>60</v>
      </c>
      <c r="Q433" t="s">
        <v>95</v>
      </c>
      <c r="R433" s="7">
        <v>2.5</v>
      </c>
      <c r="S433" s="7">
        <v>5</v>
      </c>
      <c r="T433" t="s">
        <v>29</v>
      </c>
    </row>
    <row r="434" spans="1:20" x14ac:dyDescent="0.3">
      <c r="A434">
        <v>433</v>
      </c>
      <c r="B434" s="1">
        <v>44927</v>
      </c>
      <c r="C434">
        <v>2023</v>
      </c>
      <c r="D434">
        <v>1</v>
      </c>
      <c r="E434" t="s">
        <v>20</v>
      </c>
      <c r="F434">
        <v>1</v>
      </c>
      <c r="G434" t="s">
        <v>21</v>
      </c>
      <c r="H434" s="2">
        <v>46203.805578703701</v>
      </c>
      <c r="I434">
        <v>17</v>
      </c>
      <c r="J434" t="s">
        <v>123</v>
      </c>
      <c r="K434" s="8">
        <v>1</v>
      </c>
      <c r="L434">
        <v>8</v>
      </c>
      <c r="M434" t="s">
        <v>64</v>
      </c>
      <c r="N434">
        <v>77</v>
      </c>
      <c r="O434" t="s">
        <v>43</v>
      </c>
      <c r="P434" t="s">
        <v>44</v>
      </c>
      <c r="Q434" t="s">
        <v>45</v>
      </c>
      <c r="R434" s="7">
        <v>3</v>
      </c>
      <c r="S434" s="7">
        <v>3</v>
      </c>
      <c r="T434" t="s">
        <v>29</v>
      </c>
    </row>
    <row r="435" spans="1:20" x14ac:dyDescent="0.3">
      <c r="A435">
        <v>434</v>
      </c>
      <c r="B435" s="1">
        <v>44927</v>
      </c>
      <c r="C435">
        <v>2023</v>
      </c>
      <c r="D435">
        <v>1</v>
      </c>
      <c r="E435" t="s">
        <v>20</v>
      </c>
      <c r="F435">
        <v>1</v>
      </c>
      <c r="G435" t="s">
        <v>21</v>
      </c>
      <c r="H435" s="2">
        <v>46203.80736111111</v>
      </c>
      <c r="I435">
        <v>17</v>
      </c>
      <c r="J435" t="s">
        <v>123</v>
      </c>
      <c r="K435" s="8">
        <v>1</v>
      </c>
      <c r="L435">
        <v>3</v>
      </c>
      <c r="M435" t="s">
        <v>114</v>
      </c>
      <c r="N435">
        <v>36</v>
      </c>
      <c r="O435" t="s">
        <v>24</v>
      </c>
      <c r="P435" t="s">
        <v>99</v>
      </c>
      <c r="Q435" t="s">
        <v>102</v>
      </c>
      <c r="R435" s="7">
        <v>3.75</v>
      </c>
      <c r="S435" s="7">
        <v>3.75</v>
      </c>
      <c r="T435" t="s">
        <v>29</v>
      </c>
    </row>
    <row r="436" spans="1:20" x14ac:dyDescent="0.3">
      <c r="A436">
        <v>435</v>
      </c>
      <c r="B436" s="1">
        <v>44927</v>
      </c>
      <c r="C436">
        <v>2023</v>
      </c>
      <c r="D436">
        <v>1</v>
      </c>
      <c r="E436" t="s">
        <v>20</v>
      </c>
      <c r="F436">
        <v>1</v>
      </c>
      <c r="G436" t="s">
        <v>21</v>
      </c>
      <c r="H436" s="2">
        <v>46203.807673611111</v>
      </c>
      <c r="I436">
        <v>17</v>
      </c>
      <c r="J436" t="s">
        <v>123</v>
      </c>
      <c r="K436" s="8">
        <v>1</v>
      </c>
      <c r="L436">
        <v>5</v>
      </c>
      <c r="M436" t="s">
        <v>23</v>
      </c>
      <c r="N436">
        <v>48</v>
      </c>
      <c r="O436" t="s">
        <v>30</v>
      </c>
      <c r="P436" t="s">
        <v>57</v>
      </c>
      <c r="Q436" t="s">
        <v>93</v>
      </c>
      <c r="R436" s="7">
        <v>2.5</v>
      </c>
      <c r="S436" s="7">
        <v>2.5</v>
      </c>
      <c r="T436" t="s">
        <v>29</v>
      </c>
    </row>
    <row r="437" spans="1:20" x14ac:dyDescent="0.3">
      <c r="A437">
        <v>436</v>
      </c>
      <c r="B437" s="1">
        <v>44927</v>
      </c>
      <c r="C437">
        <v>2023</v>
      </c>
      <c r="D437">
        <v>1</v>
      </c>
      <c r="E437" t="s">
        <v>20</v>
      </c>
      <c r="F437">
        <v>1</v>
      </c>
      <c r="G437" t="s">
        <v>21</v>
      </c>
      <c r="H437" s="2">
        <v>46203.807685185187</v>
      </c>
      <c r="I437">
        <v>17</v>
      </c>
      <c r="J437" t="s">
        <v>123</v>
      </c>
      <c r="K437" s="8">
        <v>1</v>
      </c>
      <c r="L437">
        <v>3</v>
      </c>
      <c r="M437" t="s">
        <v>114</v>
      </c>
      <c r="N437">
        <v>41</v>
      </c>
      <c r="O437" t="s">
        <v>24</v>
      </c>
      <c r="P437" t="s">
        <v>48</v>
      </c>
      <c r="Q437" t="s">
        <v>105</v>
      </c>
      <c r="R437" s="7">
        <v>4.25</v>
      </c>
      <c r="S437" s="7">
        <v>4.25</v>
      </c>
      <c r="T437" t="s">
        <v>29</v>
      </c>
    </row>
    <row r="438" spans="1:20" x14ac:dyDescent="0.3">
      <c r="A438">
        <v>437</v>
      </c>
      <c r="B438" s="1">
        <v>44927</v>
      </c>
      <c r="C438">
        <v>2023</v>
      </c>
      <c r="D438">
        <v>1</v>
      </c>
      <c r="E438" t="s">
        <v>20</v>
      </c>
      <c r="F438">
        <v>1</v>
      </c>
      <c r="G438" t="s">
        <v>21</v>
      </c>
      <c r="H438" s="2">
        <v>46203.809548611112</v>
      </c>
      <c r="I438">
        <v>17</v>
      </c>
      <c r="J438" t="s">
        <v>123</v>
      </c>
      <c r="K438" s="8">
        <v>2</v>
      </c>
      <c r="L438">
        <v>3</v>
      </c>
      <c r="M438" t="s">
        <v>114</v>
      </c>
      <c r="N438">
        <v>58</v>
      </c>
      <c r="O438" t="s">
        <v>35</v>
      </c>
      <c r="P438" t="s">
        <v>36</v>
      </c>
      <c r="Q438" t="s">
        <v>51</v>
      </c>
      <c r="R438" s="7">
        <v>3.5</v>
      </c>
      <c r="S438" s="7">
        <v>7</v>
      </c>
      <c r="T438" t="s">
        <v>29</v>
      </c>
    </row>
    <row r="439" spans="1:20" x14ac:dyDescent="0.3">
      <c r="A439">
        <v>438</v>
      </c>
      <c r="B439" s="1">
        <v>44927</v>
      </c>
      <c r="C439">
        <v>2023</v>
      </c>
      <c r="D439">
        <v>1</v>
      </c>
      <c r="E439" t="s">
        <v>20</v>
      </c>
      <c r="F439">
        <v>1</v>
      </c>
      <c r="G439" t="s">
        <v>21</v>
      </c>
      <c r="H439" s="2">
        <v>46203.809895833336</v>
      </c>
      <c r="I439">
        <v>17</v>
      </c>
      <c r="J439" t="s">
        <v>123</v>
      </c>
      <c r="K439" s="8">
        <v>1</v>
      </c>
      <c r="L439">
        <v>8</v>
      </c>
      <c r="M439" t="s">
        <v>64</v>
      </c>
      <c r="N439">
        <v>35</v>
      </c>
      <c r="O439" t="s">
        <v>24</v>
      </c>
      <c r="P439" t="s">
        <v>99</v>
      </c>
      <c r="Q439" t="s">
        <v>110</v>
      </c>
      <c r="R439" s="7">
        <v>3.1</v>
      </c>
      <c r="S439" s="7">
        <v>3.1</v>
      </c>
      <c r="T439" t="s">
        <v>29</v>
      </c>
    </row>
    <row r="440" spans="1:20" x14ac:dyDescent="0.3">
      <c r="A440">
        <v>439</v>
      </c>
      <c r="B440" s="1">
        <v>44927</v>
      </c>
      <c r="C440">
        <v>2023</v>
      </c>
      <c r="D440">
        <v>1</v>
      </c>
      <c r="E440" t="s">
        <v>20</v>
      </c>
      <c r="F440">
        <v>1</v>
      </c>
      <c r="G440" t="s">
        <v>21</v>
      </c>
      <c r="H440" s="2">
        <v>46203.809895833336</v>
      </c>
      <c r="I440">
        <v>17</v>
      </c>
      <c r="J440" t="s">
        <v>123</v>
      </c>
      <c r="K440" s="8">
        <v>1</v>
      </c>
      <c r="L440">
        <v>8</v>
      </c>
      <c r="M440" t="s">
        <v>64</v>
      </c>
      <c r="N440">
        <v>76</v>
      </c>
      <c r="O440" t="s">
        <v>43</v>
      </c>
      <c r="P440" t="s">
        <v>71</v>
      </c>
      <c r="Q440" t="s">
        <v>76</v>
      </c>
      <c r="R440" s="7">
        <v>3.5</v>
      </c>
      <c r="S440" s="7">
        <v>3.5</v>
      </c>
      <c r="T440" t="s">
        <v>29</v>
      </c>
    </row>
    <row r="441" spans="1:20" x14ac:dyDescent="0.3">
      <c r="A441">
        <v>440</v>
      </c>
      <c r="B441" s="1">
        <v>44927</v>
      </c>
      <c r="C441">
        <v>2023</v>
      </c>
      <c r="D441">
        <v>1</v>
      </c>
      <c r="E441" t="s">
        <v>20</v>
      </c>
      <c r="F441">
        <v>1</v>
      </c>
      <c r="G441" t="s">
        <v>21</v>
      </c>
      <c r="H441" s="2">
        <v>46203.811597222222</v>
      </c>
      <c r="I441">
        <v>17</v>
      </c>
      <c r="J441" t="s">
        <v>123</v>
      </c>
      <c r="K441" s="8">
        <v>1</v>
      </c>
      <c r="L441">
        <v>5</v>
      </c>
      <c r="M441" t="s">
        <v>23</v>
      </c>
      <c r="N441">
        <v>37</v>
      </c>
      <c r="O441" t="s">
        <v>24</v>
      </c>
      <c r="P441" t="s">
        <v>48</v>
      </c>
      <c r="Q441" t="s">
        <v>107</v>
      </c>
      <c r="R441" s="7">
        <v>3</v>
      </c>
      <c r="S441" s="7">
        <v>3</v>
      </c>
      <c r="T441" t="s">
        <v>29</v>
      </c>
    </row>
    <row r="442" spans="1:20" x14ac:dyDescent="0.3">
      <c r="A442">
        <v>441</v>
      </c>
      <c r="B442" s="1">
        <v>44927</v>
      </c>
      <c r="C442">
        <v>2023</v>
      </c>
      <c r="D442">
        <v>1</v>
      </c>
      <c r="E442" t="s">
        <v>20</v>
      </c>
      <c r="F442">
        <v>1</v>
      </c>
      <c r="G442" t="s">
        <v>21</v>
      </c>
      <c r="H442" s="2">
        <v>46203.811597222222</v>
      </c>
      <c r="I442">
        <v>17</v>
      </c>
      <c r="J442" t="s">
        <v>123</v>
      </c>
      <c r="K442" s="8">
        <v>1</v>
      </c>
      <c r="L442">
        <v>5</v>
      </c>
      <c r="M442" t="s">
        <v>23</v>
      </c>
      <c r="N442">
        <v>70</v>
      </c>
      <c r="O442" t="s">
        <v>43</v>
      </c>
      <c r="P442" t="s">
        <v>44</v>
      </c>
      <c r="Q442" t="s">
        <v>111</v>
      </c>
      <c r="R442" s="7">
        <v>3.25</v>
      </c>
      <c r="S442" s="7">
        <v>3.25</v>
      </c>
      <c r="T442" t="s">
        <v>29</v>
      </c>
    </row>
    <row r="443" spans="1:20" x14ac:dyDescent="0.3">
      <c r="A443">
        <v>442</v>
      </c>
      <c r="B443" s="1">
        <v>44927</v>
      </c>
      <c r="C443">
        <v>2023</v>
      </c>
      <c r="D443">
        <v>1</v>
      </c>
      <c r="E443" t="s">
        <v>20</v>
      </c>
      <c r="F443">
        <v>1</v>
      </c>
      <c r="G443" t="s">
        <v>21</v>
      </c>
      <c r="H443" s="2">
        <v>46203.812094907407</v>
      </c>
      <c r="I443">
        <v>17</v>
      </c>
      <c r="J443" t="s">
        <v>123</v>
      </c>
      <c r="K443" s="8">
        <v>1</v>
      </c>
      <c r="L443">
        <v>3</v>
      </c>
      <c r="M443" t="s">
        <v>114</v>
      </c>
      <c r="N443">
        <v>46</v>
      </c>
      <c r="O443" t="s">
        <v>30</v>
      </c>
      <c r="P443" t="s">
        <v>60</v>
      </c>
      <c r="Q443" t="s">
        <v>95</v>
      </c>
      <c r="R443" s="7">
        <v>2.5</v>
      </c>
      <c r="S443" s="7">
        <v>2.5</v>
      </c>
      <c r="T443" t="s">
        <v>29</v>
      </c>
    </row>
    <row r="444" spans="1:20" x14ac:dyDescent="0.3">
      <c r="A444">
        <v>443</v>
      </c>
      <c r="B444" s="1">
        <v>44927</v>
      </c>
      <c r="C444">
        <v>2023</v>
      </c>
      <c r="D444">
        <v>1</v>
      </c>
      <c r="E444" t="s">
        <v>20</v>
      </c>
      <c r="F444">
        <v>1</v>
      </c>
      <c r="G444" t="s">
        <v>21</v>
      </c>
      <c r="H444" s="2">
        <v>46203.812094907407</v>
      </c>
      <c r="I444">
        <v>17</v>
      </c>
      <c r="J444" t="s">
        <v>123</v>
      </c>
      <c r="K444" s="8">
        <v>1</v>
      </c>
      <c r="L444">
        <v>3</v>
      </c>
      <c r="M444" t="s">
        <v>114</v>
      </c>
      <c r="N444">
        <v>75</v>
      </c>
      <c r="O444" t="s">
        <v>43</v>
      </c>
      <c r="P444" t="s">
        <v>78</v>
      </c>
      <c r="Q444" t="s">
        <v>115</v>
      </c>
      <c r="R444" s="7">
        <v>3.5</v>
      </c>
      <c r="S444" s="7">
        <v>3.5</v>
      </c>
      <c r="T444" t="s">
        <v>29</v>
      </c>
    </row>
    <row r="445" spans="1:20" x14ac:dyDescent="0.3">
      <c r="A445">
        <v>444</v>
      </c>
      <c r="B445" s="1">
        <v>44927</v>
      </c>
      <c r="C445">
        <v>2023</v>
      </c>
      <c r="D445">
        <v>1</v>
      </c>
      <c r="E445" t="s">
        <v>20</v>
      </c>
      <c r="F445">
        <v>1</v>
      </c>
      <c r="G445" t="s">
        <v>21</v>
      </c>
      <c r="H445" s="2">
        <v>46203.815821759257</v>
      </c>
      <c r="I445">
        <v>17</v>
      </c>
      <c r="J445" t="s">
        <v>123</v>
      </c>
      <c r="K445" s="8">
        <v>2</v>
      </c>
      <c r="L445">
        <v>8</v>
      </c>
      <c r="M445" t="s">
        <v>64</v>
      </c>
      <c r="N445">
        <v>54</v>
      </c>
      <c r="O445" t="s">
        <v>30</v>
      </c>
      <c r="P445" t="s">
        <v>31</v>
      </c>
      <c r="Q445" t="s">
        <v>87</v>
      </c>
      <c r="R445" s="7">
        <v>2.5</v>
      </c>
      <c r="S445" s="7">
        <v>5</v>
      </c>
      <c r="T445" t="s">
        <v>29</v>
      </c>
    </row>
    <row r="446" spans="1:20" x14ac:dyDescent="0.3">
      <c r="A446">
        <v>445</v>
      </c>
      <c r="B446" s="1">
        <v>44927</v>
      </c>
      <c r="C446">
        <v>2023</v>
      </c>
      <c r="D446">
        <v>1</v>
      </c>
      <c r="E446" t="s">
        <v>20</v>
      </c>
      <c r="F446">
        <v>1</v>
      </c>
      <c r="G446" t="s">
        <v>21</v>
      </c>
      <c r="H446" s="2">
        <v>46203.81627314815</v>
      </c>
      <c r="I446">
        <v>17</v>
      </c>
      <c r="J446" t="s">
        <v>123</v>
      </c>
      <c r="K446" s="8">
        <v>1</v>
      </c>
      <c r="L446">
        <v>3</v>
      </c>
      <c r="M446" t="s">
        <v>114</v>
      </c>
      <c r="N446">
        <v>47</v>
      </c>
      <c r="O446" t="s">
        <v>30</v>
      </c>
      <c r="P446" t="s">
        <v>60</v>
      </c>
      <c r="Q446" t="s">
        <v>61</v>
      </c>
      <c r="R446" s="7">
        <v>3</v>
      </c>
      <c r="S446" s="7">
        <v>3</v>
      </c>
      <c r="T446" t="s">
        <v>29</v>
      </c>
    </row>
    <row r="447" spans="1:20" x14ac:dyDescent="0.3">
      <c r="A447">
        <v>446</v>
      </c>
      <c r="B447" s="1">
        <v>44927</v>
      </c>
      <c r="C447">
        <v>2023</v>
      </c>
      <c r="D447">
        <v>1</v>
      </c>
      <c r="E447" t="s">
        <v>20</v>
      </c>
      <c r="F447">
        <v>1</v>
      </c>
      <c r="G447" t="s">
        <v>21</v>
      </c>
      <c r="H447" s="2">
        <v>46203.81627314815</v>
      </c>
      <c r="I447">
        <v>17</v>
      </c>
      <c r="J447" t="s">
        <v>123</v>
      </c>
      <c r="K447" s="8">
        <v>1</v>
      </c>
      <c r="L447">
        <v>3</v>
      </c>
      <c r="M447" t="s">
        <v>114</v>
      </c>
      <c r="N447">
        <v>69</v>
      </c>
      <c r="O447" t="s">
        <v>43</v>
      </c>
      <c r="P447" t="s">
        <v>71</v>
      </c>
      <c r="Q447" t="s">
        <v>72</v>
      </c>
      <c r="R447" s="7">
        <v>3.25</v>
      </c>
      <c r="S447" s="7">
        <v>3.25</v>
      </c>
      <c r="T447" t="s">
        <v>29</v>
      </c>
    </row>
    <row r="448" spans="1:20" x14ac:dyDescent="0.3">
      <c r="A448">
        <v>447</v>
      </c>
      <c r="B448" s="1">
        <v>44927</v>
      </c>
      <c r="C448">
        <v>2023</v>
      </c>
      <c r="D448">
        <v>1</v>
      </c>
      <c r="E448" t="s">
        <v>20</v>
      </c>
      <c r="F448">
        <v>1</v>
      </c>
      <c r="G448" t="s">
        <v>21</v>
      </c>
      <c r="H448" s="2">
        <v>46203.817662037036</v>
      </c>
      <c r="I448">
        <v>17</v>
      </c>
      <c r="J448" t="s">
        <v>123</v>
      </c>
      <c r="K448" s="8">
        <v>1</v>
      </c>
      <c r="L448">
        <v>8</v>
      </c>
      <c r="M448" t="s">
        <v>64</v>
      </c>
      <c r="N448">
        <v>42</v>
      </c>
      <c r="O448" t="s">
        <v>30</v>
      </c>
      <c r="P448" t="s">
        <v>65</v>
      </c>
      <c r="Q448" t="s">
        <v>66</v>
      </c>
      <c r="R448" s="7">
        <v>2.5</v>
      </c>
      <c r="S448" s="7">
        <v>2.5</v>
      </c>
      <c r="T448" t="s">
        <v>29</v>
      </c>
    </row>
    <row r="449" spans="1:20" x14ac:dyDescent="0.3">
      <c r="A449">
        <v>448</v>
      </c>
      <c r="B449" s="1">
        <v>44927</v>
      </c>
      <c r="C449">
        <v>2023</v>
      </c>
      <c r="D449">
        <v>1</v>
      </c>
      <c r="E449" t="s">
        <v>20</v>
      </c>
      <c r="F449">
        <v>1</v>
      </c>
      <c r="G449" t="s">
        <v>21</v>
      </c>
      <c r="H449" s="2">
        <v>46203.820023148146</v>
      </c>
      <c r="I449">
        <v>17</v>
      </c>
      <c r="J449" t="s">
        <v>123</v>
      </c>
      <c r="K449" s="8">
        <v>1</v>
      </c>
      <c r="L449">
        <v>3</v>
      </c>
      <c r="M449" t="s">
        <v>114</v>
      </c>
      <c r="N449">
        <v>55</v>
      </c>
      <c r="O449" t="s">
        <v>30</v>
      </c>
      <c r="P449" t="s">
        <v>31</v>
      </c>
      <c r="Q449" t="s">
        <v>88</v>
      </c>
      <c r="R449" s="7">
        <v>4</v>
      </c>
      <c r="S449" s="7">
        <v>4</v>
      </c>
      <c r="T449" t="s">
        <v>29</v>
      </c>
    </row>
    <row r="450" spans="1:20" x14ac:dyDescent="0.3">
      <c r="A450">
        <v>449</v>
      </c>
      <c r="B450" s="1">
        <v>44927</v>
      </c>
      <c r="C450">
        <v>2023</v>
      </c>
      <c r="D450">
        <v>1</v>
      </c>
      <c r="E450" t="s">
        <v>20</v>
      </c>
      <c r="F450">
        <v>1</v>
      </c>
      <c r="G450" t="s">
        <v>21</v>
      </c>
      <c r="H450" s="2">
        <v>46203.820775462962</v>
      </c>
      <c r="I450">
        <v>17</v>
      </c>
      <c r="J450" t="s">
        <v>123</v>
      </c>
      <c r="K450" s="8">
        <v>2</v>
      </c>
      <c r="L450">
        <v>3</v>
      </c>
      <c r="M450" t="s">
        <v>114</v>
      </c>
      <c r="N450">
        <v>55</v>
      </c>
      <c r="O450" t="s">
        <v>30</v>
      </c>
      <c r="P450" t="s">
        <v>31</v>
      </c>
      <c r="Q450" t="s">
        <v>88</v>
      </c>
      <c r="R450" s="7">
        <v>4</v>
      </c>
      <c r="S450" s="7">
        <v>8</v>
      </c>
      <c r="T450" t="s">
        <v>29</v>
      </c>
    </row>
    <row r="451" spans="1:20" x14ac:dyDescent="0.3">
      <c r="A451">
        <v>450</v>
      </c>
      <c r="B451" s="1">
        <v>44927</v>
      </c>
      <c r="C451">
        <v>2023</v>
      </c>
      <c r="D451">
        <v>1</v>
      </c>
      <c r="E451" t="s">
        <v>20</v>
      </c>
      <c r="F451">
        <v>1</v>
      </c>
      <c r="G451" t="s">
        <v>21</v>
      </c>
      <c r="H451" s="2">
        <v>46203.820775462962</v>
      </c>
      <c r="I451">
        <v>17</v>
      </c>
      <c r="J451" t="s">
        <v>123</v>
      </c>
      <c r="K451" s="8">
        <v>1</v>
      </c>
      <c r="L451">
        <v>3</v>
      </c>
      <c r="M451" t="s">
        <v>114</v>
      </c>
      <c r="N451">
        <v>71</v>
      </c>
      <c r="O451" t="s">
        <v>43</v>
      </c>
      <c r="P451" t="s">
        <v>78</v>
      </c>
      <c r="Q451" t="s">
        <v>79</v>
      </c>
      <c r="R451" s="7">
        <v>3.75</v>
      </c>
      <c r="S451" s="7">
        <v>3.75</v>
      </c>
      <c r="T451" t="s">
        <v>29</v>
      </c>
    </row>
    <row r="452" spans="1:20" x14ac:dyDescent="0.3">
      <c r="A452">
        <v>451</v>
      </c>
      <c r="B452" s="1">
        <v>44927</v>
      </c>
      <c r="C452">
        <v>2023</v>
      </c>
      <c r="D452">
        <v>1</v>
      </c>
      <c r="E452" t="s">
        <v>20</v>
      </c>
      <c r="F452">
        <v>1</v>
      </c>
      <c r="G452" t="s">
        <v>21</v>
      </c>
      <c r="H452" s="2">
        <v>46203.822094907409</v>
      </c>
      <c r="I452">
        <v>17</v>
      </c>
      <c r="J452" t="s">
        <v>123</v>
      </c>
      <c r="K452" s="8">
        <v>2</v>
      </c>
      <c r="L452">
        <v>8</v>
      </c>
      <c r="M452" t="s">
        <v>64</v>
      </c>
      <c r="N452">
        <v>52</v>
      </c>
      <c r="O452" t="s">
        <v>30</v>
      </c>
      <c r="P452" t="s">
        <v>31</v>
      </c>
      <c r="Q452" t="s">
        <v>118</v>
      </c>
      <c r="R452" s="7">
        <v>2.5</v>
      </c>
      <c r="S452" s="7">
        <v>5</v>
      </c>
      <c r="T452" t="s">
        <v>29</v>
      </c>
    </row>
    <row r="453" spans="1:20" x14ac:dyDescent="0.3">
      <c r="A453">
        <v>452</v>
      </c>
      <c r="B453" s="1">
        <v>44927</v>
      </c>
      <c r="C453">
        <v>2023</v>
      </c>
      <c r="D453">
        <v>1</v>
      </c>
      <c r="E453" t="s">
        <v>20</v>
      </c>
      <c r="F453">
        <v>1</v>
      </c>
      <c r="G453" t="s">
        <v>21</v>
      </c>
      <c r="H453" s="2">
        <v>46203.822546296295</v>
      </c>
      <c r="I453">
        <v>17</v>
      </c>
      <c r="J453" t="s">
        <v>123</v>
      </c>
      <c r="K453" s="8">
        <v>2</v>
      </c>
      <c r="L453">
        <v>3</v>
      </c>
      <c r="M453" t="s">
        <v>114</v>
      </c>
      <c r="N453">
        <v>27</v>
      </c>
      <c r="O453" t="s">
        <v>24</v>
      </c>
      <c r="P453" t="s">
        <v>82</v>
      </c>
      <c r="Q453" t="s">
        <v>84</v>
      </c>
      <c r="R453" s="7">
        <v>3.5</v>
      </c>
      <c r="S453" s="7">
        <v>7</v>
      </c>
      <c r="T453" t="s">
        <v>29</v>
      </c>
    </row>
    <row r="454" spans="1:20" x14ac:dyDescent="0.3">
      <c r="A454">
        <v>453</v>
      </c>
      <c r="B454" s="1">
        <v>44927</v>
      </c>
      <c r="C454">
        <v>2023</v>
      </c>
      <c r="D454">
        <v>1</v>
      </c>
      <c r="E454" t="s">
        <v>20</v>
      </c>
      <c r="F454">
        <v>1</v>
      </c>
      <c r="G454" t="s">
        <v>21</v>
      </c>
      <c r="H454" s="2">
        <v>46203.822546296295</v>
      </c>
      <c r="I454">
        <v>17</v>
      </c>
      <c r="J454" t="s">
        <v>123</v>
      </c>
      <c r="K454" s="8">
        <v>1</v>
      </c>
      <c r="L454">
        <v>3</v>
      </c>
      <c r="M454" t="s">
        <v>114</v>
      </c>
      <c r="N454">
        <v>74</v>
      </c>
      <c r="O454" t="s">
        <v>43</v>
      </c>
      <c r="P454" t="s">
        <v>71</v>
      </c>
      <c r="Q454" t="s">
        <v>103</v>
      </c>
      <c r="R454" s="7">
        <v>3.5</v>
      </c>
      <c r="S454" s="7">
        <v>3.5</v>
      </c>
      <c r="T454" t="s">
        <v>29</v>
      </c>
    </row>
    <row r="455" spans="1:20" x14ac:dyDescent="0.3">
      <c r="A455">
        <v>454</v>
      </c>
      <c r="B455" s="1">
        <v>44927</v>
      </c>
      <c r="C455">
        <v>2023</v>
      </c>
      <c r="D455">
        <v>1</v>
      </c>
      <c r="E455" t="s">
        <v>20</v>
      </c>
      <c r="F455">
        <v>1</v>
      </c>
      <c r="G455" t="s">
        <v>21</v>
      </c>
      <c r="H455" s="2">
        <v>46203.822777777779</v>
      </c>
      <c r="I455">
        <v>17</v>
      </c>
      <c r="J455" t="s">
        <v>123</v>
      </c>
      <c r="K455" s="8">
        <v>1</v>
      </c>
      <c r="L455">
        <v>8</v>
      </c>
      <c r="M455" t="s">
        <v>64</v>
      </c>
      <c r="N455">
        <v>34</v>
      </c>
      <c r="O455" t="s">
        <v>24</v>
      </c>
      <c r="P455" t="s">
        <v>99</v>
      </c>
      <c r="Q455" t="s">
        <v>100</v>
      </c>
      <c r="R455" s="7">
        <v>2.4500000000000002</v>
      </c>
      <c r="S455" s="7">
        <v>2.4500000000000002</v>
      </c>
      <c r="T455" t="s">
        <v>29</v>
      </c>
    </row>
    <row r="456" spans="1:20" x14ac:dyDescent="0.3">
      <c r="A456">
        <v>455</v>
      </c>
      <c r="B456" s="1">
        <v>44927</v>
      </c>
      <c r="C456">
        <v>2023</v>
      </c>
      <c r="D456">
        <v>1</v>
      </c>
      <c r="E456" t="s">
        <v>20</v>
      </c>
      <c r="F456">
        <v>1</v>
      </c>
      <c r="G456" t="s">
        <v>21</v>
      </c>
      <c r="H456" s="2">
        <v>46203.823159722226</v>
      </c>
      <c r="I456">
        <v>17</v>
      </c>
      <c r="J456" t="s">
        <v>123</v>
      </c>
      <c r="K456" s="8">
        <v>1</v>
      </c>
      <c r="L456">
        <v>8</v>
      </c>
      <c r="M456" t="s">
        <v>64</v>
      </c>
      <c r="N456">
        <v>27</v>
      </c>
      <c r="O456" t="s">
        <v>24</v>
      </c>
      <c r="P456" t="s">
        <v>82</v>
      </c>
      <c r="Q456" t="s">
        <v>84</v>
      </c>
      <c r="R456" s="7">
        <v>3.5</v>
      </c>
      <c r="S456" s="7">
        <v>3.5</v>
      </c>
      <c r="T456" t="s">
        <v>29</v>
      </c>
    </row>
    <row r="457" spans="1:20" x14ac:dyDescent="0.3">
      <c r="A457">
        <v>456</v>
      </c>
      <c r="B457" s="1">
        <v>44927</v>
      </c>
      <c r="C457">
        <v>2023</v>
      </c>
      <c r="D457">
        <v>1</v>
      </c>
      <c r="E457" t="s">
        <v>20</v>
      </c>
      <c r="F457">
        <v>1</v>
      </c>
      <c r="G457" t="s">
        <v>21</v>
      </c>
      <c r="H457" s="2">
        <v>46203.823854166665</v>
      </c>
      <c r="I457">
        <v>17</v>
      </c>
      <c r="J457" t="s">
        <v>123</v>
      </c>
      <c r="K457" s="8">
        <v>2</v>
      </c>
      <c r="L457">
        <v>8</v>
      </c>
      <c r="M457" t="s">
        <v>64</v>
      </c>
      <c r="N457">
        <v>36</v>
      </c>
      <c r="O457" t="s">
        <v>24</v>
      </c>
      <c r="P457" t="s">
        <v>99</v>
      </c>
      <c r="Q457" t="s">
        <v>102</v>
      </c>
      <c r="R457" s="7">
        <v>3.75</v>
      </c>
      <c r="S457" s="7">
        <v>7.5</v>
      </c>
      <c r="T457" t="s">
        <v>29</v>
      </c>
    </row>
    <row r="458" spans="1:20" x14ac:dyDescent="0.3">
      <c r="A458">
        <v>457</v>
      </c>
      <c r="B458" s="1">
        <v>44927</v>
      </c>
      <c r="C458">
        <v>2023</v>
      </c>
      <c r="D458">
        <v>1</v>
      </c>
      <c r="E458" t="s">
        <v>20</v>
      </c>
      <c r="F458">
        <v>1</v>
      </c>
      <c r="G458" t="s">
        <v>21</v>
      </c>
      <c r="H458" s="2">
        <v>46203.823854166665</v>
      </c>
      <c r="I458">
        <v>17</v>
      </c>
      <c r="J458" t="s">
        <v>123</v>
      </c>
      <c r="K458" s="8">
        <v>1</v>
      </c>
      <c r="L458">
        <v>8</v>
      </c>
      <c r="M458" t="s">
        <v>64</v>
      </c>
      <c r="N458">
        <v>76</v>
      </c>
      <c r="O458" t="s">
        <v>43</v>
      </c>
      <c r="P458" t="s">
        <v>71</v>
      </c>
      <c r="Q458" t="s">
        <v>76</v>
      </c>
      <c r="R458" s="7">
        <v>3.5</v>
      </c>
      <c r="S458" s="7">
        <v>3.5</v>
      </c>
      <c r="T458" t="s">
        <v>29</v>
      </c>
    </row>
    <row r="459" spans="1:20" x14ac:dyDescent="0.3">
      <c r="A459">
        <v>458</v>
      </c>
      <c r="B459" s="1">
        <v>44927</v>
      </c>
      <c r="C459">
        <v>2023</v>
      </c>
      <c r="D459">
        <v>1</v>
      </c>
      <c r="E459" t="s">
        <v>20</v>
      </c>
      <c r="F459">
        <v>1</v>
      </c>
      <c r="G459" t="s">
        <v>21</v>
      </c>
      <c r="H459" s="2">
        <v>46203.825740740744</v>
      </c>
      <c r="I459">
        <v>17</v>
      </c>
      <c r="J459" t="s">
        <v>123</v>
      </c>
      <c r="K459" s="8">
        <v>2</v>
      </c>
      <c r="L459">
        <v>8</v>
      </c>
      <c r="M459" t="s">
        <v>64</v>
      </c>
      <c r="N459">
        <v>60</v>
      </c>
      <c r="O459" t="s">
        <v>35</v>
      </c>
      <c r="P459" t="s">
        <v>36</v>
      </c>
      <c r="Q459" t="s">
        <v>90</v>
      </c>
      <c r="R459" s="7">
        <v>3.75</v>
      </c>
      <c r="S459" s="7">
        <v>7.5</v>
      </c>
      <c r="T459" t="s">
        <v>29</v>
      </c>
    </row>
    <row r="460" spans="1:20" x14ac:dyDescent="0.3">
      <c r="A460">
        <v>459</v>
      </c>
      <c r="B460" s="1">
        <v>44927</v>
      </c>
      <c r="C460">
        <v>2023</v>
      </c>
      <c r="D460">
        <v>1</v>
      </c>
      <c r="E460" t="s">
        <v>20</v>
      </c>
      <c r="F460">
        <v>1</v>
      </c>
      <c r="G460" t="s">
        <v>21</v>
      </c>
      <c r="H460" s="2">
        <v>46203.826608796298</v>
      </c>
      <c r="I460">
        <v>17</v>
      </c>
      <c r="J460" t="s">
        <v>123</v>
      </c>
      <c r="K460" s="8">
        <v>1</v>
      </c>
      <c r="L460">
        <v>5</v>
      </c>
      <c r="M460" t="s">
        <v>23</v>
      </c>
      <c r="N460">
        <v>45</v>
      </c>
      <c r="O460" t="s">
        <v>30</v>
      </c>
      <c r="P460" t="s">
        <v>65</v>
      </c>
      <c r="Q460" t="s">
        <v>77</v>
      </c>
      <c r="R460" s="7">
        <v>3</v>
      </c>
      <c r="S460" s="7">
        <v>3</v>
      </c>
      <c r="T460" t="s">
        <v>29</v>
      </c>
    </row>
    <row r="461" spans="1:20" x14ac:dyDescent="0.3">
      <c r="A461">
        <v>460</v>
      </c>
      <c r="B461" s="1">
        <v>44927</v>
      </c>
      <c r="C461">
        <v>2023</v>
      </c>
      <c r="D461">
        <v>1</v>
      </c>
      <c r="E461" t="s">
        <v>20</v>
      </c>
      <c r="F461">
        <v>1</v>
      </c>
      <c r="G461" t="s">
        <v>21</v>
      </c>
      <c r="H461" s="2">
        <v>46203.826736111114</v>
      </c>
      <c r="I461">
        <v>17</v>
      </c>
      <c r="J461" t="s">
        <v>123</v>
      </c>
      <c r="K461" s="8">
        <v>2</v>
      </c>
      <c r="L461">
        <v>8</v>
      </c>
      <c r="M461" t="s">
        <v>64</v>
      </c>
      <c r="N461">
        <v>38</v>
      </c>
      <c r="O461" t="s">
        <v>24</v>
      </c>
      <c r="P461" t="s">
        <v>48</v>
      </c>
      <c r="Q461" t="s">
        <v>81</v>
      </c>
      <c r="R461" s="7">
        <v>3.75</v>
      </c>
      <c r="S461" s="7">
        <v>7.5</v>
      </c>
      <c r="T461" t="s">
        <v>29</v>
      </c>
    </row>
    <row r="462" spans="1:20" x14ac:dyDescent="0.3">
      <c r="A462">
        <v>461</v>
      </c>
      <c r="B462" s="1">
        <v>44927</v>
      </c>
      <c r="C462">
        <v>2023</v>
      </c>
      <c r="D462">
        <v>1</v>
      </c>
      <c r="E462" t="s">
        <v>20</v>
      </c>
      <c r="F462">
        <v>1</v>
      </c>
      <c r="G462" t="s">
        <v>21</v>
      </c>
      <c r="H462" s="2">
        <v>46203.827152777776</v>
      </c>
      <c r="I462">
        <v>17</v>
      </c>
      <c r="J462" t="s">
        <v>123</v>
      </c>
      <c r="K462" s="8">
        <v>2</v>
      </c>
      <c r="L462">
        <v>3</v>
      </c>
      <c r="M462" t="s">
        <v>114</v>
      </c>
      <c r="N462">
        <v>60</v>
      </c>
      <c r="O462" t="s">
        <v>35</v>
      </c>
      <c r="P462" t="s">
        <v>36</v>
      </c>
      <c r="Q462" t="s">
        <v>90</v>
      </c>
      <c r="R462" s="7">
        <v>3.75</v>
      </c>
      <c r="S462" s="7">
        <v>7.5</v>
      </c>
      <c r="T462" t="s">
        <v>29</v>
      </c>
    </row>
    <row r="463" spans="1:20" x14ac:dyDescent="0.3">
      <c r="A463">
        <v>462</v>
      </c>
      <c r="B463" s="1">
        <v>44927</v>
      </c>
      <c r="C463">
        <v>2023</v>
      </c>
      <c r="D463">
        <v>1</v>
      </c>
      <c r="E463" t="s">
        <v>20</v>
      </c>
      <c r="F463">
        <v>1</v>
      </c>
      <c r="G463" t="s">
        <v>21</v>
      </c>
      <c r="H463" s="2">
        <v>46203.829293981478</v>
      </c>
      <c r="I463">
        <v>17</v>
      </c>
      <c r="J463" t="s">
        <v>123</v>
      </c>
      <c r="K463" s="8">
        <v>2</v>
      </c>
      <c r="L463">
        <v>3</v>
      </c>
      <c r="M463" t="s">
        <v>114</v>
      </c>
      <c r="N463">
        <v>56</v>
      </c>
      <c r="O463" t="s">
        <v>30</v>
      </c>
      <c r="P463" t="s">
        <v>31</v>
      </c>
      <c r="Q463" t="s">
        <v>54</v>
      </c>
      <c r="R463" s="7">
        <v>2.5499999999999998</v>
      </c>
      <c r="S463" s="7">
        <v>5.0999999999999996</v>
      </c>
      <c r="T463" t="s">
        <v>29</v>
      </c>
    </row>
    <row r="464" spans="1:20" x14ac:dyDescent="0.3">
      <c r="A464">
        <v>463</v>
      </c>
      <c r="B464" s="1">
        <v>44927</v>
      </c>
      <c r="C464">
        <v>2023</v>
      </c>
      <c r="D464">
        <v>1</v>
      </c>
      <c r="E464" t="s">
        <v>20</v>
      </c>
      <c r="F464">
        <v>1</v>
      </c>
      <c r="G464" t="s">
        <v>21</v>
      </c>
      <c r="H464" s="2">
        <v>46203.831087962964</v>
      </c>
      <c r="I464">
        <v>17</v>
      </c>
      <c r="J464" t="s">
        <v>123</v>
      </c>
      <c r="K464" s="8">
        <v>1</v>
      </c>
      <c r="L464">
        <v>8</v>
      </c>
      <c r="M464" t="s">
        <v>64</v>
      </c>
      <c r="N464">
        <v>30</v>
      </c>
      <c r="O464" t="s">
        <v>24</v>
      </c>
      <c r="P464" t="s">
        <v>25</v>
      </c>
      <c r="Q464" t="s">
        <v>119</v>
      </c>
      <c r="R464" s="7">
        <v>3</v>
      </c>
      <c r="S464" s="7">
        <v>3</v>
      </c>
      <c r="T464" t="s">
        <v>29</v>
      </c>
    </row>
    <row r="465" spans="1:20" x14ac:dyDescent="0.3">
      <c r="A465">
        <v>464</v>
      </c>
      <c r="B465" s="1">
        <v>44927</v>
      </c>
      <c r="C465">
        <v>2023</v>
      </c>
      <c r="D465">
        <v>1</v>
      </c>
      <c r="E465" t="s">
        <v>20</v>
      </c>
      <c r="F465">
        <v>1</v>
      </c>
      <c r="G465" t="s">
        <v>21</v>
      </c>
      <c r="H465" s="2">
        <v>46203.831956018519</v>
      </c>
      <c r="I465">
        <v>17</v>
      </c>
      <c r="J465" t="s">
        <v>123</v>
      </c>
      <c r="K465" s="8">
        <v>1</v>
      </c>
      <c r="L465">
        <v>5</v>
      </c>
      <c r="M465" t="s">
        <v>23</v>
      </c>
      <c r="N465">
        <v>39</v>
      </c>
      <c r="O465" t="s">
        <v>24</v>
      </c>
      <c r="P465" t="s">
        <v>48</v>
      </c>
      <c r="Q465" t="s">
        <v>49</v>
      </c>
      <c r="R465" s="7">
        <v>4.25</v>
      </c>
      <c r="S465" s="7">
        <v>4.25</v>
      </c>
      <c r="T465" t="s">
        <v>29</v>
      </c>
    </row>
    <row r="466" spans="1:20" x14ac:dyDescent="0.3">
      <c r="A466">
        <v>465</v>
      </c>
      <c r="B466" s="1">
        <v>44927</v>
      </c>
      <c r="C466">
        <v>2023</v>
      </c>
      <c r="D466">
        <v>1</v>
      </c>
      <c r="E466" t="s">
        <v>20</v>
      </c>
      <c r="F466">
        <v>1</v>
      </c>
      <c r="G466" t="s">
        <v>21</v>
      </c>
      <c r="H466" s="2">
        <v>46203.833148148151</v>
      </c>
      <c r="I466">
        <v>17</v>
      </c>
      <c r="J466" t="s">
        <v>123</v>
      </c>
      <c r="K466" s="8">
        <v>2</v>
      </c>
      <c r="L466">
        <v>8</v>
      </c>
      <c r="M466" t="s">
        <v>64</v>
      </c>
      <c r="N466">
        <v>53</v>
      </c>
      <c r="O466" t="s">
        <v>30</v>
      </c>
      <c r="P466" t="s">
        <v>31</v>
      </c>
      <c r="Q466" t="s">
        <v>104</v>
      </c>
      <c r="R466" s="7">
        <v>3</v>
      </c>
      <c r="S466" s="7">
        <v>6</v>
      </c>
      <c r="T466" t="s">
        <v>29</v>
      </c>
    </row>
    <row r="467" spans="1:20" x14ac:dyDescent="0.3">
      <c r="A467">
        <v>466</v>
      </c>
      <c r="B467" s="1">
        <v>44927</v>
      </c>
      <c r="C467">
        <v>2023</v>
      </c>
      <c r="D467">
        <v>1</v>
      </c>
      <c r="E467" t="s">
        <v>20</v>
      </c>
      <c r="F467">
        <v>1</v>
      </c>
      <c r="G467" t="s">
        <v>21</v>
      </c>
      <c r="H467" s="2">
        <v>46203.833148148151</v>
      </c>
      <c r="I467">
        <v>17</v>
      </c>
      <c r="J467" t="s">
        <v>123</v>
      </c>
      <c r="K467" s="8">
        <v>1</v>
      </c>
      <c r="L467">
        <v>8</v>
      </c>
      <c r="M467" t="s">
        <v>64</v>
      </c>
      <c r="N467">
        <v>76</v>
      </c>
      <c r="O467" t="s">
        <v>43</v>
      </c>
      <c r="P467" t="s">
        <v>71</v>
      </c>
      <c r="Q467" t="s">
        <v>76</v>
      </c>
      <c r="R467" s="7">
        <v>3.5</v>
      </c>
      <c r="S467" s="7">
        <v>3.5</v>
      </c>
      <c r="T467" t="s">
        <v>29</v>
      </c>
    </row>
    <row r="468" spans="1:20" x14ac:dyDescent="0.3">
      <c r="A468">
        <v>467</v>
      </c>
      <c r="B468" s="1">
        <v>44927</v>
      </c>
      <c r="C468">
        <v>2023</v>
      </c>
      <c r="D468">
        <v>1</v>
      </c>
      <c r="E468" t="s">
        <v>20</v>
      </c>
      <c r="F468">
        <v>1</v>
      </c>
      <c r="G468" t="s">
        <v>21</v>
      </c>
      <c r="H468" s="2">
        <v>46203.834120370368</v>
      </c>
      <c r="I468">
        <v>18</v>
      </c>
      <c r="J468" t="s">
        <v>123</v>
      </c>
      <c r="K468" s="8">
        <v>2</v>
      </c>
      <c r="L468">
        <v>8</v>
      </c>
      <c r="M468" t="s">
        <v>64</v>
      </c>
      <c r="N468">
        <v>45</v>
      </c>
      <c r="O468" t="s">
        <v>30</v>
      </c>
      <c r="P468" t="s">
        <v>65</v>
      </c>
      <c r="Q468" t="s">
        <v>77</v>
      </c>
      <c r="R468" s="7">
        <v>3</v>
      </c>
      <c r="S468" s="7">
        <v>6</v>
      </c>
      <c r="T468" t="s">
        <v>29</v>
      </c>
    </row>
    <row r="469" spans="1:20" x14ac:dyDescent="0.3">
      <c r="A469">
        <v>468</v>
      </c>
      <c r="B469" s="1">
        <v>44927</v>
      </c>
      <c r="C469">
        <v>2023</v>
      </c>
      <c r="D469">
        <v>1</v>
      </c>
      <c r="E469" t="s">
        <v>20</v>
      </c>
      <c r="F469">
        <v>1</v>
      </c>
      <c r="G469" t="s">
        <v>21</v>
      </c>
      <c r="H469" s="2">
        <v>46203.834722222222</v>
      </c>
      <c r="I469">
        <v>18</v>
      </c>
      <c r="J469" t="s">
        <v>123</v>
      </c>
      <c r="K469" s="8">
        <v>1</v>
      </c>
      <c r="L469">
        <v>3</v>
      </c>
      <c r="M469" t="s">
        <v>114</v>
      </c>
      <c r="N469">
        <v>52</v>
      </c>
      <c r="O469" t="s">
        <v>30</v>
      </c>
      <c r="P469" t="s">
        <v>31</v>
      </c>
      <c r="Q469" t="s">
        <v>118</v>
      </c>
      <c r="R469" s="7">
        <v>2.5</v>
      </c>
      <c r="S469" s="7">
        <v>2.5</v>
      </c>
      <c r="T469" t="s">
        <v>29</v>
      </c>
    </row>
    <row r="470" spans="1:20" x14ac:dyDescent="0.3">
      <c r="A470">
        <v>469</v>
      </c>
      <c r="B470" s="1">
        <v>44927</v>
      </c>
      <c r="C470">
        <v>2023</v>
      </c>
      <c r="D470">
        <v>1</v>
      </c>
      <c r="E470" t="s">
        <v>20</v>
      </c>
      <c r="F470">
        <v>1</v>
      </c>
      <c r="G470" t="s">
        <v>21</v>
      </c>
      <c r="H470" s="2">
        <v>46203.834965277776</v>
      </c>
      <c r="I470">
        <v>18</v>
      </c>
      <c r="J470" t="s">
        <v>123</v>
      </c>
      <c r="K470" s="8">
        <v>2</v>
      </c>
      <c r="L470">
        <v>5</v>
      </c>
      <c r="M470" t="s">
        <v>23</v>
      </c>
      <c r="N470">
        <v>49</v>
      </c>
      <c r="O470" t="s">
        <v>30</v>
      </c>
      <c r="P470" t="s">
        <v>57</v>
      </c>
      <c r="Q470" t="s">
        <v>117</v>
      </c>
      <c r="R470" s="7">
        <v>3</v>
      </c>
      <c r="S470" s="7">
        <v>6</v>
      </c>
      <c r="T470" t="s">
        <v>29</v>
      </c>
    </row>
    <row r="471" spans="1:20" x14ac:dyDescent="0.3">
      <c r="A471">
        <v>470</v>
      </c>
      <c r="B471" s="1">
        <v>44927</v>
      </c>
      <c r="C471">
        <v>2023</v>
      </c>
      <c r="D471">
        <v>1</v>
      </c>
      <c r="E471" t="s">
        <v>20</v>
      </c>
      <c r="F471">
        <v>1</v>
      </c>
      <c r="G471" t="s">
        <v>21</v>
      </c>
      <c r="H471" s="2">
        <v>46203.83556712963</v>
      </c>
      <c r="I471">
        <v>18</v>
      </c>
      <c r="J471" t="s">
        <v>123</v>
      </c>
      <c r="K471" s="8">
        <v>1</v>
      </c>
      <c r="L471">
        <v>3</v>
      </c>
      <c r="M471" t="s">
        <v>114</v>
      </c>
      <c r="N471">
        <v>28</v>
      </c>
      <c r="O471" t="s">
        <v>24</v>
      </c>
      <c r="P471" t="s">
        <v>25</v>
      </c>
      <c r="Q471" t="s">
        <v>46</v>
      </c>
      <c r="R471" s="7">
        <v>2</v>
      </c>
      <c r="S471" s="7">
        <v>2</v>
      </c>
      <c r="T471" t="s">
        <v>29</v>
      </c>
    </row>
    <row r="472" spans="1:20" x14ac:dyDescent="0.3">
      <c r="A472">
        <v>471</v>
      </c>
      <c r="B472" s="1">
        <v>44927</v>
      </c>
      <c r="C472">
        <v>2023</v>
      </c>
      <c r="D472">
        <v>1</v>
      </c>
      <c r="E472" t="s">
        <v>20</v>
      </c>
      <c r="F472">
        <v>1</v>
      </c>
      <c r="G472" t="s">
        <v>21</v>
      </c>
      <c r="H472" s="2">
        <v>46203.83556712963</v>
      </c>
      <c r="I472">
        <v>18</v>
      </c>
      <c r="J472" t="s">
        <v>123</v>
      </c>
      <c r="K472" s="8">
        <v>1</v>
      </c>
      <c r="L472">
        <v>3</v>
      </c>
      <c r="M472" t="s">
        <v>114</v>
      </c>
      <c r="N472">
        <v>78</v>
      </c>
      <c r="O472" t="s">
        <v>43</v>
      </c>
      <c r="P472" t="s">
        <v>44</v>
      </c>
      <c r="Q472" t="s">
        <v>91</v>
      </c>
      <c r="R472" s="7">
        <v>4.5</v>
      </c>
      <c r="S472" s="7">
        <v>4.5</v>
      </c>
      <c r="T472" t="s">
        <v>29</v>
      </c>
    </row>
    <row r="473" spans="1:20" x14ac:dyDescent="0.3">
      <c r="A473">
        <v>472</v>
      </c>
      <c r="B473" s="1">
        <v>44927</v>
      </c>
      <c r="C473">
        <v>2023</v>
      </c>
      <c r="D473">
        <v>1</v>
      </c>
      <c r="E473" t="s">
        <v>20</v>
      </c>
      <c r="F473">
        <v>1</v>
      </c>
      <c r="G473" t="s">
        <v>21</v>
      </c>
      <c r="H473" s="2">
        <v>46203.836504629631</v>
      </c>
      <c r="I473">
        <v>18</v>
      </c>
      <c r="J473" t="s">
        <v>123</v>
      </c>
      <c r="K473" s="8">
        <v>1</v>
      </c>
      <c r="L473">
        <v>3</v>
      </c>
      <c r="M473" t="s">
        <v>114</v>
      </c>
      <c r="N473">
        <v>28</v>
      </c>
      <c r="O473" t="s">
        <v>24</v>
      </c>
      <c r="P473" t="s">
        <v>25</v>
      </c>
      <c r="Q473" t="s">
        <v>46</v>
      </c>
      <c r="R473" s="7">
        <v>2</v>
      </c>
      <c r="S473" s="7">
        <v>2</v>
      </c>
      <c r="T473" t="s">
        <v>29</v>
      </c>
    </row>
    <row r="474" spans="1:20" x14ac:dyDescent="0.3">
      <c r="A474">
        <v>473</v>
      </c>
      <c r="B474" s="1">
        <v>44927</v>
      </c>
      <c r="C474">
        <v>2023</v>
      </c>
      <c r="D474">
        <v>1</v>
      </c>
      <c r="E474" t="s">
        <v>20</v>
      </c>
      <c r="F474">
        <v>1</v>
      </c>
      <c r="G474" t="s">
        <v>21</v>
      </c>
      <c r="H474" s="2">
        <v>46203.838101851848</v>
      </c>
      <c r="I474">
        <v>18</v>
      </c>
      <c r="J474" t="s">
        <v>123</v>
      </c>
      <c r="K474" s="8">
        <v>2</v>
      </c>
      <c r="L474">
        <v>3</v>
      </c>
      <c r="M474" t="s">
        <v>114</v>
      </c>
      <c r="N474">
        <v>30</v>
      </c>
      <c r="O474" t="s">
        <v>24</v>
      </c>
      <c r="P474" t="s">
        <v>25</v>
      </c>
      <c r="Q474" t="s">
        <v>119</v>
      </c>
      <c r="R474" s="7">
        <v>3</v>
      </c>
      <c r="S474" s="7">
        <v>6</v>
      </c>
      <c r="T474" t="s">
        <v>29</v>
      </c>
    </row>
    <row r="475" spans="1:20" x14ac:dyDescent="0.3">
      <c r="A475">
        <v>474</v>
      </c>
      <c r="B475" s="1">
        <v>44927</v>
      </c>
      <c r="C475">
        <v>2023</v>
      </c>
      <c r="D475">
        <v>1</v>
      </c>
      <c r="E475" t="s">
        <v>20</v>
      </c>
      <c r="F475">
        <v>1</v>
      </c>
      <c r="G475" t="s">
        <v>21</v>
      </c>
      <c r="H475" s="2">
        <v>46203.838101851848</v>
      </c>
      <c r="I475">
        <v>18</v>
      </c>
      <c r="J475" t="s">
        <v>123</v>
      </c>
      <c r="K475" s="8">
        <v>1</v>
      </c>
      <c r="L475">
        <v>3</v>
      </c>
      <c r="M475" t="s">
        <v>114</v>
      </c>
      <c r="N475">
        <v>79</v>
      </c>
      <c r="O475" t="s">
        <v>43</v>
      </c>
      <c r="P475" t="s">
        <v>44</v>
      </c>
      <c r="Q475" t="s">
        <v>62</v>
      </c>
      <c r="R475" s="7">
        <v>3.75</v>
      </c>
      <c r="S475" s="7">
        <v>3.75</v>
      </c>
      <c r="T475" t="s">
        <v>29</v>
      </c>
    </row>
    <row r="476" spans="1:20" x14ac:dyDescent="0.3">
      <c r="A476">
        <v>475</v>
      </c>
      <c r="B476" s="1">
        <v>44927</v>
      </c>
      <c r="C476">
        <v>2023</v>
      </c>
      <c r="D476">
        <v>1</v>
      </c>
      <c r="E476" t="s">
        <v>20</v>
      </c>
      <c r="F476">
        <v>1</v>
      </c>
      <c r="G476" t="s">
        <v>21</v>
      </c>
      <c r="H476" s="2">
        <v>46203.83834490741</v>
      </c>
      <c r="I476">
        <v>18</v>
      </c>
      <c r="J476" t="s">
        <v>123</v>
      </c>
      <c r="K476" s="8">
        <v>1</v>
      </c>
      <c r="L476">
        <v>8</v>
      </c>
      <c r="M476" t="s">
        <v>64</v>
      </c>
      <c r="N476">
        <v>23</v>
      </c>
      <c r="O476" t="s">
        <v>24</v>
      </c>
      <c r="P476" t="s">
        <v>40</v>
      </c>
      <c r="Q476" t="s">
        <v>94</v>
      </c>
      <c r="R476" s="7">
        <v>2.5</v>
      </c>
      <c r="S476" s="7">
        <v>2.5</v>
      </c>
      <c r="T476" t="s">
        <v>29</v>
      </c>
    </row>
    <row r="477" spans="1:20" x14ac:dyDescent="0.3">
      <c r="A477">
        <v>476</v>
      </c>
      <c r="B477" s="1">
        <v>44927</v>
      </c>
      <c r="C477">
        <v>2023</v>
      </c>
      <c r="D477">
        <v>1</v>
      </c>
      <c r="E477" t="s">
        <v>20</v>
      </c>
      <c r="F477">
        <v>1</v>
      </c>
      <c r="G477" t="s">
        <v>21</v>
      </c>
      <c r="H477" s="2">
        <v>46203.839502314811</v>
      </c>
      <c r="I477">
        <v>18</v>
      </c>
      <c r="J477" t="s">
        <v>123</v>
      </c>
      <c r="K477" s="8">
        <v>2</v>
      </c>
      <c r="L477">
        <v>3</v>
      </c>
      <c r="M477" t="s">
        <v>114</v>
      </c>
      <c r="N477">
        <v>34</v>
      </c>
      <c r="O477" t="s">
        <v>24</v>
      </c>
      <c r="P477" t="s">
        <v>99</v>
      </c>
      <c r="Q477" t="s">
        <v>100</v>
      </c>
      <c r="R477" s="7">
        <v>2.4500000000000002</v>
      </c>
      <c r="S477" s="7">
        <v>4.9000000000000004</v>
      </c>
      <c r="T477" t="s">
        <v>29</v>
      </c>
    </row>
    <row r="478" spans="1:20" x14ac:dyDescent="0.3">
      <c r="A478">
        <v>477</v>
      </c>
      <c r="B478" s="1">
        <v>44927</v>
      </c>
      <c r="C478">
        <v>2023</v>
      </c>
      <c r="D478">
        <v>1</v>
      </c>
      <c r="E478" t="s">
        <v>20</v>
      </c>
      <c r="F478">
        <v>1</v>
      </c>
      <c r="G478" t="s">
        <v>21</v>
      </c>
      <c r="H478" s="2">
        <v>46203.842094907406</v>
      </c>
      <c r="I478">
        <v>18</v>
      </c>
      <c r="J478" t="s">
        <v>123</v>
      </c>
      <c r="K478" s="8">
        <v>2</v>
      </c>
      <c r="L478">
        <v>3</v>
      </c>
      <c r="M478" t="s">
        <v>114</v>
      </c>
      <c r="N478">
        <v>25</v>
      </c>
      <c r="O478" t="s">
        <v>24</v>
      </c>
      <c r="P478" t="s">
        <v>82</v>
      </c>
      <c r="Q478" t="s">
        <v>96</v>
      </c>
      <c r="R478" s="7">
        <v>2.2000000000000002</v>
      </c>
      <c r="S478" s="7">
        <v>4.4000000000000004</v>
      </c>
      <c r="T478" t="s">
        <v>29</v>
      </c>
    </row>
    <row r="479" spans="1:20" x14ac:dyDescent="0.3">
      <c r="A479">
        <v>478</v>
      </c>
      <c r="B479" s="1">
        <v>44927</v>
      </c>
      <c r="C479">
        <v>2023</v>
      </c>
      <c r="D479">
        <v>1</v>
      </c>
      <c r="E479" t="s">
        <v>20</v>
      </c>
      <c r="F479">
        <v>1</v>
      </c>
      <c r="G479" t="s">
        <v>21</v>
      </c>
      <c r="H479" s="2">
        <v>46203.842731481483</v>
      </c>
      <c r="I479">
        <v>18</v>
      </c>
      <c r="J479" t="s">
        <v>123</v>
      </c>
      <c r="K479" s="8">
        <v>2</v>
      </c>
      <c r="L479">
        <v>5</v>
      </c>
      <c r="M479" t="s">
        <v>23</v>
      </c>
      <c r="N479">
        <v>23</v>
      </c>
      <c r="O479" t="s">
        <v>24</v>
      </c>
      <c r="P479" t="s">
        <v>40</v>
      </c>
      <c r="Q479" t="s">
        <v>94</v>
      </c>
      <c r="R479" s="7">
        <v>2.5</v>
      </c>
      <c r="S479" s="7">
        <v>5</v>
      </c>
      <c r="T479" t="s">
        <v>29</v>
      </c>
    </row>
    <row r="480" spans="1:20" x14ac:dyDescent="0.3">
      <c r="A480">
        <v>479</v>
      </c>
      <c r="B480" s="1">
        <v>44927</v>
      </c>
      <c r="C480">
        <v>2023</v>
      </c>
      <c r="D480">
        <v>1</v>
      </c>
      <c r="E480" t="s">
        <v>20</v>
      </c>
      <c r="F480">
        <v>1</v>
      </c>
      <c r="G480" t="s">
        <v>21</v>
      </c>
      <c r="H480" s="2">
        <v>46203.842835648145</v>
      </c>
      <c r="I480">
        <v>18</v>
      </c>
      <c r="J480" t="s">
        <v>123</v>
      </c>
      <c r="K480" s="8">
        <v>2</v>
      </c>
      <c r="L480">
        <v>8</v>
      </c>
      <c r="M480" t="s">
        <v>64</v>
      </c>
      <c r="N480">
        <v>57</v>
      </c>
      <c r="O480" t="s">
        <v>30</v>
      </c>
      <c r="P480" t="s">
        <v>31</v>
      </c>
      <c r="Q480" t="s">
        <v>32</v>
      </c>
      <c r="R480" s="7">
        <v>3.1</v>
      </c>
      <c r="S480" s="7">
        <v>6.2</v>
      </c>
      <c r="T480" t="s">
        <v>29</v>
      </c>
    </row>
    <row r="481" spans="1:20" x14ac:dyDescent="0.3">
      <c r="A481">
        <v>480</v>
      </c>
      <c r="B481" s="1">
        <v>44927</v>
      </c>
      <c r="C481">
        <v>2023</v>
      </c>
      <c r="D481">
        <v>1</v>
      </c>
      <c r="E481" t="s">
        <v>20</v>
      </c>
      <c r="F481">
        <v>1</v>
      </c>
      <c r="G481" t="s">
        <v>21</v>
      </c>
      <c r="H481" s="2">
        <v>46203.84337962963</v>
      </c>
      <c r="I481">
        <v>18</v>
      </c>
      <c r="J481" t="s">
        <v>123</v>
      </c>
      <c r="K481" s="8">
        <v>2</v>
      </c>
      <c r="L481">
        <v>8</v>
      </c>
      <c r="M481" t="s">
        <v>64</v>
      </c>
      <c r="N481">
        <v>26</v>
      </c>
      <c r="O481" t="s">
        <v>24</v>
      </c>
      <c r="P481" t="s">
        <v>82</v>
      </c>
      <c r="Q481" t="s">
        <v>83</v>
      </c>
      <c r="R481" s="7">
        <v>3</v>
      </c>
      <c r="S481" s="7">
        <v>6</v>
      </c>
      <c r="T481" t="s">
        <v>29</v>
      </c>
    </row>
    <row r="482" spans="1:20" x14ac:dyDescent="0.3">
      <c r="A482">
        <v>481</v>
      </c>
      <c r="B482" s="1">
        <v>44927</v>
      </c>
      <c r="C482">
        <v>2023</v>
      </c>
      <c r="D482">
        <v>1</v>
      </c>
      <c r="E482" t="s">
        <v>20</v>
      </c>
      <c r="F482">
        <v>1</v>
      </c>
      <c r="G482" t="s">
        <v>21</v>
      </c>
      <c r="H482" s="2">
        <v>46203.845243055555</v>
      </c>
      <c r="I482">
        <v>18</v>
      </c>
      <c r="J482" t="s">
        <v>123</v>
      </c>
      <c r="K482" s="8">
        <v>2</v>
      </c>
      <c r="L482">
        <v>8</v>
      </c>
      <c r="M482" t="s">
        <v>64</v>
      </c>
      <c r="N482">
        <v>36</v>
      </c>
      <c r="O482" t="s">
        <v>24</v>
      </c>
      <c r="P482" t="s">
        <v>99</v>
      </c>
      <c r="Q482" t="s">
        <v>102</v>
      </c>
      <c r="R482" s="7">
        <v>3.75</v>
      </c>
      <c r="S482" s="7">
        <v>7.5</v>
      </c>
      <c r="T482" t="s">
        <v>29</v>
      </c>
    </row>
    <row r="483" spans="1:20" x14ac:dyDescent="0.3">
      <c r="A483">
        <v>482</v>
      </c>
      <c r="B483" s="1">
        <v>44927</v>
      </c>
      <c r="C483">
        <v>2023</v>
      </c>
      <c r="D483">
        <v>1</v>
      </c>
      <c r="E483" t="s">
        <v>20</v>
      </c>
      <c r="F483">
        <v>1</v>
      </c>
      <c r="G483" t="s">
        <v>21</v>
      </c>
      <c r="H483" s="2">
        <v>46203.845949074072</v>
      </c>
      <c r="I483">
        <v>18</v>
      </c>
      <c r="J483" t="s">
        <v>123</v>
      </c>
      <c r="K483" s="8">
        <v>1</v>
      </c>
      <c r="L483">
        <v>3</v>
      </c>
      <c r="M483" t="s">
        <v>114</v>
      </c>
      <c r="N483">
        <v>59</v>
      </c>
      <c r="O483" t="s">
        <v>35</v>
      </c>
      <c r="P483" t="s">
        <v>36</v>
      </c>
      <c r="Q483" t="s">
        <v>37</v>
      </c>
      <c r="R483" s="7">
        <v>4.5</v>
      </c>
      <c r="S483" s="7">
        <v>4.5</v>
      </c>
      <c r="T483" t="s">
        <v>29</v>
      </c>
    </row>
    <row r="484" spans="1:20" x14ac:dyDescent="0.3">
      <c r="A484">
        <v>483</v>
      </c>
      <c r="B484" s="1">
        <v>44927</v>
      </c>
      <c r="C484">
        <v>2023</v>
      </c>
      <c r="D484">
        <v>1</v>
      </c>
      <c r="E484" t="s">
        <v>20</v>
      </c>
      <c r="F484">
        <v>1</v>
      </c>
      <c r="G484" t="s">
        <v>21</v>
      </c>
      <c r="H484" s="2">
        <v>46203.847048611111</v>
      </c>
      <c r="I484">
        <v>18</v>
      </c>
      <c r="J484" t="s">
        <v>123</v>
      </c>
      <c r="K484" s="8">
        <v>1</v>
      </c>
      <c r="L484">
        <v>5</v>
      </c>
      <c r="M484" t="s">
        <v>23</v>
      </c>
      <c r="N484">
        <v>52</v>
      </c>
      <c r="O484" t="s">
        <v>30</v>
      </c>
      <c r="P484" t="s">
        <v>31</v>
      </c>
      <c r="Q484" t="s">
        <v>118</v>
      </c>
      <c r="R484" s="7">
        <v>2.5</v>
      </c>
      <c r="S484" s="7">
        <v>2.5</v>
      </c>
      <c r="T484" t="s">
        <v>29</v>
      </c>
    </row>
    <row r="485" spans="1:20" x14ac:dyDescent="0.3">
      <c r="A485">
        <v>484</v>
      </c>
      <c r="B485" s="1">
        <v>44927</v>
      </c>
      <c r="C485">
        <v>2023</v>
      </c>
      <c r="D485">
        <v>1</v>
      </c>
      <c r="E485" t="s">
        <v>20</v>
      </c>
      <c r="F485">
        <v>1</v>
      </c>
      <c r="G485" t="s">
        <v>21</v>
      </c>
      <c r="H485" s="2">
        <v>46203.847048611111</v>
      </c>
      <c r="I485">
        <v>18</v>
      </c>
      <c r="J485" t="s">
        <v>123</v>
      </c>
      <c r="K485" s="8">
        <v>1</v>
      </c>
      <c r="L485">
        <v>5</v>
      </c>
      <c r="M485" t="s">
        <v>23</v>
      </c>
      <c r="N485">
        <v>76</v>
      </c>
      <c r="O485" t="s">
        <v>43</v>
      </c>
      <c r="P485" t="s">
        <v>71</v>
      </c>
      <c r="Q485" t="s">
        <v>76</v>
      </c>
      <c r="R485" s="7">
        <v>3.5</v>
      </c>
      <c r="S485" s="7">
        <v>3.5</v>
      </c>
      <c r="T485" t="s">
        <v>29</v>
      </c>
    </row>
    <row r="486" spans="1:20" x14ac:dyDescent="0.3">
      <c r="A486">
        <v>485</v>
      </c>
      <c r="B486" s="1">
        <v>44927</v>
      </c>
      <c r="C486">
        <v>2023</v>
      </c>
      <c r="D486">
        <v>1</v>
      </c>
      <c r="E486" t="s">
        <v>20</v>
      </c>
      <c r="F486">
        <v>1</v>
      </c>
      <c r="G486" t="s">
        <v>21</v>
      </c>
      <c r="H486" s="2">
        <v>46203.848171296297</v>
      </c>
      <c r="I486">
        <v>18</v>
      </c>
      <c r="J486" t="s">
        <v>123</v>
      </c>
      <c r="K486" s="8">
        <v>1</v>
      </c>
      <c r="L486">
        <v>3</v>
      </c>
      <c r="M486" t="s">
        <v>114</v>
      </c>
      <c r="N486">
        <v>46</v>
      </c>
      <c r="O486" t="s">
        <v>30</v>
      </c>
      <c r="P486" t="s">
        <v>60</v>
      </c>
      <c r="Q486" t="s">
        <v>95</v>
      </c>
      <c r="R486" s="7">
        <v>2.5</v>
      </c>
      <c r="S486" s="7">
        <v>2.5</v>
      </c>
      <c r="T486" t="s">
        <v>29</v>
      </c>
    </row>
    <row r="487" spans="1:20" x14ac:dyDescent="0.3">
      <c r="A487">
        <v>486</v>
      </c>
      <c r="B487" s="1">
        <v>44927</v>
      </c>
      <c r="C487">
        <v>2023</v>
      </c>
      <c r="D487">
        <v>1</v>
      </c>
      <c r="E487" t="s">
        <v>20</v>
      </c>
      <c r="F487">
        <v>1</v>
      </c>
      <c r="G487" t="s">
        <v>21</v>
      </c>
      <c r="H487" s="2">
        <v>46203.848749999997</v>
      </c>
      <c r="I487">
        <v>18</v>
      </c>
      <c r="J487" t="s">
        <v>123</v>
      </c>
      <c r="K487" s="8">
        <v>2</v>
      </c>
      <c r="L487">
        <v>3</v>
      </c>
      <c r="M487" t="s">
        <v>114</v>
      </c>
      <c r="N487">
        <v>61</v>
      </c>
      <c r="O487" t="s">
        <v>35</v>
      </c>
      <c r="P487" t="s">
        <v>36</v>
      </c>
      <c r="Q487" t="s">
        <v>68</v>
      </c>
      <c r="R487" s="7">
        <v>4.75</v>
      </c>
      <c r="S487" s="7">
        <v>9.5</v>
      </c>
      <c r="T487" t="s">
        <v>29</v>
      </c>
    </row>
    <row r="488" spans="1:20" x14ac:dyDescent="0.3">
      <c r="A488">
        <v>487</v>
      </c>
      <c r="B488" s="1">
        <v>44927</v>
      </c>
      <c r="C488">
        <v>2023</v>
      </c>
      <c r="D488">
        <v>1</v>
      </c>
      <c r="E488" t="s">
        <v>20</v>
      </c>
      <c r="F488">
        <v>1</v>
      </c>
      <c r="G488" t="s">
        <v>21</v>
      </c>
      <c r="H488" s="2">
        <v>46203.849166666667</v>
      </c>
      <c r="I488">
        <v>18</v>
      </c>
      <c r="J488" t="s">
        <v>123</v>
      </c>
      <c r="K488" s="8">
        <v>2</v>
      </c>
      <c r="L488">
        <v>5</v>
      </c>
      <c r="M488" t="s">
        <v>23</v>
      </c>
      <c r="N488">
        <v>37</v>
      </c>
      <c r="O488" t="s">
        <v>24</v>
      </c>
      <c r="P488" t="s">
        <v>48</v>
      </c>
      <c r="Q488" t="s">
        <v>107</v>
      </c>
      <c r="R488" s="7">
        <v>3</v>
      </c>
      <c r="S488" s="7">
        <v>6</v>
      </c>
      <c r="T488" t="s">
        <v>29</v>
      </c>
    </row>
    <row r="489" spans="1:20" x14ac:dyDescent="0.3">
      <c r="A489">
        <v>488</v>
      </c>
      <c r="B489" s="1">
        <v>44927</v>
      </c>
      <c r="C489">
        <v>2023</v>
      </c>
      <c r="D489">
        <v>1</v>
      </c>
      <c r="E489" t="s">
        <v>20</v>
      </c>
      <c r="F489">
        <v>1</v>
      </c>
      <c r="G489" t="s">
        <v>21</v>
      </c>
      <c r="H489" s="2">
        <v>46203.849224537036</v>
      </c>
      <c r="I489">
        <v>18</v>
      </c>
      <c r="J489" t="s">
        <v>123</v>
      </c>
      <c r="K489" s="8">
        <v>1</v>
      </c>
      <c r="L489">
        <v>3</v>
      </c>
      <c r="M489" t="s">
        <v>114</v>
      </c>
      <c r="N489">
        <v>32</v>
      </c>
      <c r="O489" t="s">
        <v>24</v>
      </c>
      <c r="P489" t="s">
        <v>25</v>
      </c>
      <c r="Q489" t="s">
        <v>26</v>
      </c>
      <c r="R489" s="7">
        <v>3</v>
      </c>
      <c r="S489" s="7">
        <v>3</v>
      </c>
      <c r="T489" t="s">
        <v>29</v>
      </c>
    </row>
    <row r="490" spans="1:20" x14ac:dyDescent="0.3">
      <c r="A490">
        <v>489</v>
      </c>
      <c r="B490" s="1">
        <v>44927</v>
      </c>
      <c r="C490">
        <v>2023</v>
      </c>
      <c r="D490">
        <v>1</v>
      </c>
      <c r="E490" t="s">
        <v>20</v>
      </c>
      <c r="F490">
        <v>1</v>
      </c>
      <c r="G490" t="s">
        <v>21</v>
      </c>
      <c r="H490" s="2">
        <v>46203.849224537036</v>
      </c>
      <c r="I490">
        <v>18</v>
      </c>
      <c r="J490" t="s">
        <v>123</v>
      </c>
      <c r="K490" s="8">
        <v>1</v>
      </c>
      <c r="L490">
        <v>3</v>
      </c>
      <c r="M490" t="s">
        <v>114</v>
      </c>
      <c r="N490">
        <v>79</v>
      </c>
      <c r="O490" t="s">
        <v>43</v>
      </c>
      <c r="P490" t="s">
        <v>44</v>
      </c>
      <c r="Q490" t="s">
        <v>62</v>
      </c>
      <c r="R490" s="7">
        <v>3.75</v>
      </c>
      <c r="S490" s="7">
        <v>3.75</v>
      </c>
      <c r="T490" t="s">
        <v>29</v>
      </c>
    </row>
    <row r="491" spans="1:20" x14ac:dyDescent="0.3">
      <c r="A491">
        <v>490</v>
      </c>
      <c r="B491" s="1">
        <v>44927</v>
      </c>
      <c r="C491">
        <v>2023</v>
      </c>
      <c r="D491">
        <v>1</v>
      </c>
      <c r="E491" t="s">
        <v>20</v>
      </c>
      <c r="F491">
        <v>1</v>
      </c>
      <c r="G491" t="s">
        <v>21</v>
      </c>
      <c r="H491" s="2">
        <v>46203.849699074075</v>
      </c>
      <c r="I491">
        <v>18</v>
      </c>
      <c r="J491" t="s">
        <v>123</v>
      </c>
      <c r="K491" s="8">
        <v>2</v>
      </c>
      <c r="L491">
        <v>5</v>
      </c>
      <c r="M491" t="s">
        <v>23</v>
      </c>
      <c r="N491">
        <v>53</v>
      </c>
      <c r="O491" t="s">
        <v>30</v>
      </c>
      <c r="P491" t="s">
        <v>31</v>
      </c>
      <c r="Q491" t="s">
        <v>104</v>
      </c>
      <c r="R491" s="7">
        <v>3</v>
      </c>
      <c r="S491" s="7">
        <v>6</v>
      </c>
      <c r="T491" t="s">
        <v>29</v>
      </c>
    </row>
    <row r="492" spans="1:20" x14ac:dyDescent="0.3">
      <c r="A492">
        <v>491</v>
      </c>
      <c r="B492" s="1">
        <v>44927</v>
      </c>
      <c r="C492">
        <v>2023</v>
      </c>
      <c r="D492">
        <v>1</v>
      </c>
      <c r="E492" t="s">
        <v>20</v>
      </c>
      <c r="F492">
        <v>1</v>
      </c>
      <c r="G492" t="s">
        <v>21</v>
      </c>
      <c r="H492" s="2">
        <v>46203.851284722223</v>
      </c>
      <c r="I492">
        <v>18</v>
      </c>
      <c r="J492" t="s">
        <v>123</v>
      </c>
      <c r="K492" s="8">
        <v>1</v>
      </c>
      <c r="L492">
        <v>3</v>
      </c>
      <c r="M492" t="s">
        <v>114</v>
      </c>
      <c r="N492">
        <v>61</v>
      </c>
      <c r="O492" t="s">
        <v>35</v>
      </c>
      <c r="P492" t="s">
        <v>36</v>
      </c>
      <c r="Q492" t="s">
        <v>68</v>
      </c>
      <c r="R492" s="7">
        <v>4.75</v>
      </c>
      <c r="S492" s="7">
        <v>4.75</v>
      </c>
      <c r="T492" t="s">
        <v>29</v>
      </c>
    </row>
    <row r="493" spans="1:20" x14ac:dyDescent="0.3">
      <c r="A493">
        <v>492</v>
      </c>
      <c r="B493" s="1">
        <v>44927</v>
      </c>
      <c r="C493">
        <v>2023</v>
      </c>
      <c r="D493">
        <v>1</v>
      </c>
      <c r="E493" t="s">
        <v>20</v>
      </c>
      <c r="F493">
        <v>1</v>
      </c>
      <c r="G493" t="s">
        <v>21</v>
      </c>
      <c r="H493" s="2">
        <v>46203.851354166669</v>
      </c>
      <c r="I493">
        <v>18</v>
      </c>
      <c r="J493" t="s">
        <v>123</v>
      </c>
      <c r="K493" s="8">
        <v>1</v>
      </c>
      <c r="L493">
        <v>8</v>
      </c>
      <c r="M493" t="s">
        <v>64</v>
      </c>
      <c r="N493">
        <v>43</v>
      </c>
      <c r="O493" t="s">
        <v>30</v>
      </c>
      <c r="P493" t="s">
        <v>65</v>
      </c>
      <c r="Q493" t="s">
        <v>75</v>
      </c>
      <c r="R493" s="7">
        <v>3</v>
      </c>
      <c r="S493" s="7">
        <v>3</v>
      </c>
      <c r="T493" t="s">
        <v>29</v>
      </c>
    </row>
    <row r="494" spans="1:20" x14ac:dyDescent="0.3">
      <c r="A494">
        <v>493</v>
      </c>
      <c r="B494" s="1">
        <v>44927</v>
      </c>
      <c r="C494">
        <v>2023</v>
      </c>
      <c r="D494">
        <v>1</v>
      </c>
      <c r="E494" t="s">
        <v>20</v>
      </c>
      <c r="F494">
        <v>1</v>
      </c>
      <c r="G494" t="s">
        <v>21</v>
      </c>
      <c r="H494" s="2">
        <v>46203.852175925924</v>
      </c>
      <c r="I494">
        <v>18</v>
      </c>
      <c r="J494" t="s">
        <v>123</v>
      </c>
      <c r="K494" s="8">
        <v>2</v>
      </c>
      <c r="L494">
        <v>5</v>
      </c>
      <c r="M494" t="s">
        <v>23</v>
      </c>
      <c r="N494">
        <v>54</v>
      </c>
      <c r="O494" t="s">
        <v>30</v>
      </c>
      <c r="P494" t="s">
        <v>31</v>
      </c>
      <c r="Q494" t="s">
        <v>87</v>
      </c>
      <c r="R494" s="7">
        <v>2.5</v>
      </c>
      <c r="S494" s="7">
        <v>5</v>
      </c>
      <c r="T494" t="s">
        <v>29</v>
      </c>
    </row>
    <row r="495" spans="1:20" x14ac:dyDescent="0.3">
      <c r="A495">
        <v>494</v>
      </c>
      <c r="B495" s="1">
        <v>44927</v>
      </c>
      <c r="C495">
        <v>2023</v>
      </c>
      <c r="D495">
        <v>1</v>
      </c>
      <c r="E495" t="s">
        <v>20</v>
      </c>
      <c r="F495">
        <v>1</v>
      </c>
      <c r="G495" t="s">
        <v>21</v>
      </c>
      <c r="H495" s="2">
        <v>46203.853865740741</v>
      </c>
      <c r="I495">
        <v>18</v>
      </c>
      <c r="J495" t="s">
        <v>123</v>
      </c>
      <c r="K495" s="8">
        <v>2</v>
      </c>
      <c r="L495">
        <v>8</v>
      </c>
      <c r="M495" t="s">
        <v>64</v>
      </c>
      <c r="N495">
        <v>44</v>
      </c>
      <c r="O495" t="s">
        <v>30</v>
      </c>
      <c r="P495" t="s">
        <v>65</v>
      </c>
      <c r="Q495" t="s">
        <v>92</v>
      </c>
      <c r="R495" s="7">
        <v>2.5</v>
      </c>
      <c r="S495" s="7">
        <v>5</v>
      </c>
      <c r="T495" t="s">
        <v>29</v>
      </c>
    </row>
    <row r="496" spans="1:20" x14ac:dyDescent="0.3">
      <c r="A496">
        <v>495</v>
      </c>
      <c r="B496" s="1">
        <v>44927</v>
      </c>
      <c r="C496">
        <v>2023</v>
      </c>
      <c r="D496">
        <v>1</v>
      </c>
      <c r="E496" t="s">
        <v>20</v>
      </c>
      <c r="F496">
        <v>1</v>
      </c>
      <c r="G496" t="s">
        <v>21</v>
      </c>
      <c r="H496" s="2">
        <v>46203.854224537034</v>
      </c>
      <c r="I496">
        <v>18</v>
      </c>
      <c r="J496" t="s">
        <v>123</v>
      </c>
      <c r="K496" s="8">
        <v>2</v>
      </c>
      <c r="L496">
        <v>3</v>
      </c>
      <c r="M496" t="s">
        <v>114</v>
      </c>
      <c r="N496">
        <v>55</v>
      </c>
      <c r="O496" t="s">
        <v>30</v>
      </c>
      <c r="P496" t="s">
        <v>31</v>
      </c>
      <c r="Q496" t="s">
        <v>88</v>
      </c>
      <c r="R496" s="7">
        <v>4</v>
      </c>
      <c r="S496" s="7">
        <v>8</v>
      </c>
      <c r="T496" t="s">
        <v>29</v>
      </c>
    </row>
    <row r="497" spans="1:20" x14ac:dyDescent="0.3">
      <c r="A497">
        <v>496</v>
      </c>
      <c r="B497" s="1">
        <v>44927</v>
      </c>
      <c r="C497">
        <v>2023</v>
      </c>
      <c r="D497">
        <v>1</v>
      </c>
      <c r="E497" t="s">
        <v>20</v>
      </c>
      <c r="F497">
        <v>1</v>
      </c>
      <c r="G497" t="s">
        <v>21</v>
      </c>
      <c r="H497" s="2">
        <v>46203.857592592591</v>
      </c>
      <c r="I497">
        <v>18</v>
      </c>
      <c r="J497" t="s">
        <v>123</v>
      </c>
      <c r="K497" s="8">
        <v>2</v>
      </c>
      <c r="L497">
        <v>3</v>
      </c>
      <c r="M497" t="s">
        <v>114</v>
      </c>
      <c r="N497">
        <v>60</v>
      </c>
      <c r="O497" t="s">
        <v>35</v>
      </c>
      <c r="P497" t="s">
        <v>36</v>
      </c>
      <c r="Q497" t="s">
        <v>90</v>
      </c>
      <c r="R497" s="7">
        <v>3.75</v>
      </c>
      <c r="S497" s="7">
        <v>7.5</v>
      </c>
      <c r="T497" t="s">
        <v>29</v>
      </c>
    </row>
    <row r="498" spans="1:20" x14ac:dyDescent="0.3">
      <c r="A498">
        <v>497</v>
      </c>
      <c r="B498" s="1">
        <v>44927</v>
      </c>
      <c r="C498">
        <v>2023</v>
      </c>
      <c r="D498">
        <v>1</v>
      </c>
      <c r="E498" t="s">
        <v>20</v>
      </c>
      <c r="F498">
        <v>1</v>
      </c>
      <c r="G498" t="s">
        <v>21</v>
      </c>
      <c r="H498" s="2">
        <v>46203.860752314817</v>
      </c>
      <c r="I498">
        <v>18</v>
      </c>
      <c r="J498" t="s">
        <v>123</v>
      </c>
      <c r="K498" s="8">
        <v>1</v>
      </c>
      <c r="L498">
        <v>3</v>
      </c>
      <c r="M498" t="s">
        <v>114</v>
      </c>
      <c r="N498">
        <v>22</v>
      </c>
      <c r="O498" t="s">
        <v>24</v>
      </c>
      <c r="P498" t="s">
        <v>40</v>
      </c>
      <c r="Q498" t="s">
        <v>41</v>
      </c>
      <c r="R498" s="7">
        <v>2</v>
      </c>
      <c r="S498" s="7">
        <v>2</v>
      </c>
      <c r="T498" t="s">
        <v>29</v>
      </c>
    </row>
    <row r="499" spans="1:20" x14ac:dyDescent="0.3">
      <c r="A499">
        <v>498</v>
      </c>
      <c r="B499" s="1">
        <v>44927</v>
      </c>
      <c r="C499">
        <v>2023</v>
      </c>
      <c r="D499">
        <v>1</v>
      </c>
      <c r="E499" t="s">
        <v>20</v>
      </c>
      <c r="F499">
        <v>1</v>
      </c>
      <c r="G499" t="s">
        <v>21</v>
      </c>
      <c r="H499" s="2">
        <v>46203.861446759256</v>
      </c>
      <c r="I499">
        <v>18</v>
      </c>
      <c r="J499" t="s">
        <v>123</v>
      </c>
      <c r="K499" s="8">
        <v>2</v>
      </c>
      <c r="L499">
        <v>8</v>
      </c>
      <c r="M499" t="s">
        <v>64</v>
      </c>
      <c r="N499">
        <v>53</v>
      </c>
      <c r="O499" t="s">
        <v>30</v>
      </c>
      <c r="P499" t="s">
        <v>31</v>
      </c>
      <c r="Q499" t="s">
        <v>104</v>
      </c>
      <c r="R499" s="7">
        <v>3</v>
      </c>
      <c r="S499" s="7">
        <v>6</v>
      </c>
      <c r="T499" t="s">
        <v>29</v>
      </c>
    </row>
    <row r="500" spans="1:20" x14ac:dyDescent="0.3">
      <c r="A500">
        <v>499</v>
      </c>
      <c r="B500" s="1">
        <v>44927</v>
      </c>
      <c r="C500">
        <v>2023</v>
      </c>
      <c r="D500">
        <v>1</v>
      </c>
      <c r="E500" t="s">
        <v>20</v>
      </c>
      <c r="F500">
        <v>1</v>
      </c>
      <c r="G500" t="s">
        <v>21</v>
      </c>
      <c r="H500" s="2">
        <v>46203.861956018518</v>
      </c>
      <c r="I500">
        <v>18</v>
      </c>
      <c r="J500" t="s">
        <v>123</v>
      </c>
      <c r="K500" s="8">
        <v>1</v>
      </c>
      <c r="L500">
        <v>3</v>
      </c>
      <c r="M500" t="s">
        <v>114</v>
      </c>
      <c r="N500">
        <v>24</v>
      </c>
      <c r="O500" t="s">
        <v>24</v>
      </c>
      <c r="P500" t="s">
        <v>40</v>
      </c>
      <c r="Q500" t="s">
        <v>89</v>
      </c>
      <c r="R500" s="7">
        <v>3</v>
      </c>
      <c r="S500" s="7">
        <v>3</v>
      </c>
      <c r="T500" t="s">
        <v>29</v>
      </c>
    </row>
    <row r="501" spans="1:20" x14ac:dyDescent="0.3">
      <c r="A501">
        <v>500</v>
      </c>
      <c r="B501" s="1">
        <v>44927</v>
      </c>
      <c r="C501">
        <v>2023</v>
      </c>
      <c r="D501">
        <v>1</v>
      </c>
      <c r="E501" t="s">
        <v>20</v>
      </c>
      <c r="F501">
        <v>1</v>
      </c>
      <c r="G501" t="s">
        <v>21</v>
      </c>
      <c r="H501" s="2">
        <v>46203.862129629626</v>
      </c>
      <c r="I501">
        <v>18</v>
      </c>
      <c r="J501" t="s">
        <v>123</v>
      </c>
      <c r="K501" s="8">
        <v>2</v>
      </c>
      <c r="L501">
        <v>8</v>
      </c>
      <c r="M501" t="s">
        <v>64</v>
      </c>
      <c r="N501">
        <v>49</v>
      </c>
      <c r="O501" t="s">
        <v>30</v>
      </c>
      <c r="P501" t="s">
        <v>57</v>
      </c>
      <c r="Q501" t="s">
        <v>117</v>
      </c>
      <c r="R501" s="7">
        <v>3</v>
      </c>
      <c r="S501" s="7">
        <v>6</v>
      </c>
      <c r="T501" t="s">
        <v>29</v>
      </c>
    </row>
    <row r="502" spans="1:20" x14ac:dyDescent="0.3">
      <c r="A502">
        <v>501</v>
      </c>
      <c r="B502" s="1">
        <v>44927</v>
      </c>
      <c r="C502">
        <v>2023</v>
      </c>
      <c r="D502">
        <v>1</v>
      </c>
      <c r="E502" t="s">
        <v>20</v>
      </c>
      <c r="F502">
        <v>1</v>
      </c>
      <c r="G502" t="s">
        <v>21</v>
      </c>
      <c r="H502" s="2">
        <v>46203.862546296295</v>
      </c>
      <c r="I502">
        <v>18</v>
      </c>
      <c r="J502" t="s">
        <v>123</v>
      </c>
      <c r="K502" s="8">
        <v>2</v>
      </c>
      <c r="L502">
        <v>3</v>
      </c>
      <c r="M502" t="s">
        <v>114</v>
      </c>
      <c r="N502">
        <v>60</v>
      </c>
      <c r="O502" t="s">
        <v>35</v>
      </c>
      <c r="P502" t="s">
        <v>36</v>
      </c>
      <c r="Q502" t="s">
        <v>90</v>
      </c>
      <c r="R502" s="7">
        <v>3.75</v>
      </c>
      <c r="S502" s="7">
        <v>7.5</v>
      </c>
      <c r="T502" t="s">
        <v>29</v>
      </c>
    </row>
    <row r="503" spans="1:20" x14ac:dyDescent="0.3">
      <c r="A503">
        <v>502</v>
      </c>
      <c r="B503" s="1">
        <v>44927</v>
      </c>
      <c r="C503">
        <v>2023</v>
      </c>
      <c r="D503">
        <v>1</v>
      </c>
      <c r="E503" t="s">
        <v>20</v>
      </c>
      <c r="F503">
        <v>1</v>
      </c>
      <c r="G503" t="s">
        <v>21</v>
      </c>
      <c r="H503" s="2">
        <v>46203.862685185188</v>
      </c>
      <c r="I503">
        <v>18</v>
      </c>
      <c r="J503" t="s">
        <v>123</v>
      </c>
      <c r="K503" s="8">
        <v>1</v>
      </c>
      <c r="L503">
        <v>8</v>
      </c>
      <c r="M503" t="s">
        <v>64</v>
      </c>
      <c r="N503">
        <v>54</v>
      </c>
      <c r="O503" t="s">
        <v>30</v>
      </c>
      <c r="P503" t="s">
        <v>31</v>
      </c>
      <c r="Q503" t="s">
        <v>87</v>
      </c>
      <c r="R503" s="7">
        <v>2.5</v>
      </c>
      <c r="S503" s="7">
        <v>2.5</v>
      </c>
      <c r="T503" t="s">
        <v>29</v>
      </c>
    </row>
    <row r="504" spans="1:20" x14ac:dyDescent="0.3">
      <c r="A504">
        <v>503</v>
      </c>
      <c r="B504" s="1">
        <v>44927</v>
      </c>
      <c r="C504">
        <v>2023</v>
      </c>
      <c r="D504">
        <v>1</v>
      </c>
      <c r="E504" t="s">
        <v>20</v>
      </c>
      <c r="F504">
        <v>1</v>
      </c>
      <c r="G504" t="s">
        <v>21</v>
      </c>
      <c r="H504" s="2">
        <v>46203.86341435185</v>
      </c>
      <c r="I504">
        <v>18</v>
      </c>
      <c r="J504" t="s">
        <v>123</v>
      </c>
      <c r="K504" s="8">
        <v>1</v>
      </c>
      <c r="L504">
        <v>3</v>
      </c>
      <c r="M504" t="s">
        <v>114</v>
      </c>
      <c r="N504">
        <v>57</v>
      </c>
      <c r="O504" t="s">
        <v>30</v>
      </c>
      <c r="P504" t="s">
        <v>31</v>
      </c>
      <c r="Q504" t="s">
        <v>32</v>
      </c>
      <c r="R504" s="7">
        <v>3.1</v>
      </c>
      <c r="S504" s="7">
        <v>3.1</v>
      </c>
      <c r="T504" t="s">
        <v>29</v>
      </c>
    </row>
    <row r="505" spans="1:20" x14ac:dyDescent="0.3">
      <c r="A505">
        <v>504</v>
      </c>
      <c r="B505" s="1">
        <v>44927</v>
      </c>
      <c r="C505">
        <v>2023</v>
      </c>
      <c r="D505">
        <v>1</v>
      </c>
      <c r="E505" t="s">
        <v>20</v>
      </c>
      <c r="F505">
        <v>1</v>
      </c>
      <c r="G505" t="s">
        <v>21</v>
      </c>
      <c r="H505" s="2">
        <v>46203.863680555558</v>
      </c>
      <c r="I505">
        <v>18</v>
      </c>
      <c r="J505" t="s">
        <v>123</v>
      </c>
      <c r="K505" s="8">
        <v>1</v>
      </c>
      <c r="L505">
        <v>3</v>
      </c>
      <c r="M505" t="s">
        <v>114</v>
      </c>
      <c r="N505">
        <v>25</v>
      </c>
      <c r="O505" t="s">
        <v>24</v>
      </c>
      <c r="P505" t="s">
        <v>82</v>
      </c>
      <c r="Q505" t="s">
        <v>96</v>
      </c>
      <c r="R505" s="7">
        <v>2.2000000000000002</v>
      </c>
      <c r="S505" s="7">
        <v>2.2000000000000002</v>
      </c>
      <c r="T505" t="s">
        <v>29</v>
      </c>
    </row>
    <row r="506" spans="1:20" x14ac:dyDescent="0.3">
      <c r="A506">
        <v>505</v>
      </c>
      <c r="B506" s="1">
        <v>44927</v>
      </c>
      <c r="C506">
        <v>2023</v>
      </c>
      <c r="D506">
        <v>1</v>
      </c>
      <c r="E506" t="s">
        <v>20</v>
      </c>
      <c r="F506">
        <v>1</v>
      </c>
      <c r="G506" t="s">
        <v>21</v>
      </c>
      <c r="H506" s="2">
        <v>46203.864710648151</v>
      </c>
      <c r="I506">
        <v>18</v>
      </c>
      <c r="J506" t="s">
        <v>123</v>
      </c>
      <c r="K506" s="8">
        <v>2</v>
      </c>
      <c r="L506">
        <v>3</v>
      </c>
      <c r="M506" t="s">
        <v>114</v>
      </c>
      <c r="N506">
        <v>38</v>
      </c>
      <c r="O506" t="s">
        <v>24</v>
      </c>
      <c r="P506" t="s">
        <v>48</v>
      </c>
      <c r="Q506" t="s">
        <v>81</v>
      </c>
      <c r="R506" s="7">
        <v>3.75</v>
      </c>
      <c r="S506" s="7">
        <v>7.5</v>
      </c>
      <c r="T506" t="s">
        <v>29</v>
      </c>
    </row>
    <row r="507" spans="1:20" x14ac:dyDescent="0.3">
      <c r="A507">
        <v>506</v>
      </c>
      <c r="B507" s="1">
        <v>44927</v>
      </c>
      <c r="C507">
        <v>2023</v>
      </c>
      <c r="D507">
        <v>1</v>
      </c>
      <c r="E507" t="s">
        <v>20</v>
      </c>
      <c r="F507">
        <v>1</v>
      </c>
      <c r="G507" t="s">
        <v>21</v>
      </c>
      <c r="H507" s="2">
        <v>46203.86791666667</v>
      </c>
      <c r="I507">
        <v>18</v>
      </c>
      <c r="J507" t="s">
        <v>123</v>
      </c>
      <c r="K507" s="8">
        <v>1</v>
      </c>
      <c r="L507">
        <v>3</v>
      </c>
      <c r="M507" t="s">
        <v>114</v>
      </c>
      <c r="N507">
        <v>27</v>
      </c>
      <c r="O507" t="s">
        <v>24</v>
      </c>
      <c r="P507" t="s">
        <v>82</v>
      </c>
      <c r="Q507" t="s">
        <v>84</v>
      </c>
      <c r="R507" s="7">
        <v>3.5</v>
      </c>
      <c r="S507" s="7">
        <v>3.5</v>
      </c>
      <c r="T507" t="s">
        <v>29</v>
      </c>
    </row>
    <row r="508" spans="1:20" x14ac:dyDescent="0.3">
      <c r="A508">
        <v>507</v>
      </c>
      <c r="B508" s="1">
        <v>44927</v>
      </c>
      <c r="C508">
        <v>2023</v>
      </c>
      <c r="D508">
        <v>1</v>
      </c>
      <c r="E508" t="s">
        <v>20</v>
      </c>
      <c r="F508">
        <v>1</v>
      </c>
      <c r="G508" t="s">
        <v>21</v>
      </c>
      <c r="H508" s="2">
        <v>46203.869016203702</v>
      </c>
      <c r="I508">
        <v>18</v>
      </c>
      <c r="J508" t="s">
        <v>123</v>
      </c>
      <c r="K508" s="8">
        <v>2</v>
      </c>
      <c r="L508">
        <v>3</v>
      </c>
      <c r="M508" t="s">
        <v>114</v>
      </c>
      <c r="N508">
        <v>24</v>
      </c>
      <c r="O508" t="s">
        <v>24</v>
      </c>
      <c r="P508" t="s">
        <v>40</v>
      </c>
      <c r="Q508" t="s">
        <v>89</v>
      </c>
      <c r="R508" s="7">
        <v>3</v>
      </c>
      <c r="S508" s="7">
        <v>6</v>
      </c>
      <c r="T508" t="s">
        <v>29</v>
      </c>
    </row>
    <row r="509" spans="1:20" x14ac:dyDescent="0.3">
      <c r="A509">
        <v>508</v>
      </c>
      <c r="B509" s="1">
        <v>44927</v>
      </c>
      <c r="C509">
        <v>2023</v>
      </c>
      <c r="D509">
        <v>1</v>
      </c>
      <c r="E509" t="s">
        <v>20</v>
      </c>
      <c r="F509">
        <v>1</v>
      </c>
      <c r="G509" t="s">
        <v>21</v>
      </c>
      <c r="H509" s="2">
        <v>46203.86922453704</v>
      </c>
      <c r="I509">
        <v>18</v>
      </c>
      <c r="J509" t="s">
        <v>123</v>
      </c>
      <c r="K509" s="8">
        <v>1</v>
      </c>
      <c r="L509">
        <v>3</v>
      </c>
      <c r="M509" t="s">
        <v>114</v>
      </c>
      <c r="N509">
        <v>28</v>
      </c>
      <c r="O509" t="s">
        <v>24</v>
      </c>
      <c r="P509" t="s">
        <v>25</v>
      </c>
      <c r="Q509" t="s">
        <v>46</v>
      </c>
      <c r="R509" s="7">
        <v>2</v>
      </c>
      <c r="S509" s="7">
        <v>2</v>
      </c>
      <c r="T509" t="s">
        <v>29</v>
      </c>
    </row>
    <row r="510" spans="1:20" x14ac:dyDescent="0.3">
      <c r="A510">
        <v>509</v>
      </c>
      <c r="B510" s="1">
        <v>44927</v>
      </c>
      <c r="C510">
        <v>2023</v>
      </c>
      <c r="D510">
        <v>1</v>
      </c>
      <c r="E510" t="s">
        <v>20</v>
      </c>
      <c r="F510">
        <v>1</v>
      </c>
      <c r="G510" t="s">
        <v>21</v>
      </c>
      <c r="H510" s="2">
        <v>46203.869652777779</v>
      </c>
      <c r="I510">
        <v>18</v>
      </c>
      <c r="J510" t="s">
        <v>123</v>
      </c>
      <c r="K510" s="8">
        <v>2</v>
      </c>
      <c r="L510">
        <v>8</v>
      </c>
      <c r="M510" t="s">
        <v>64</v>
      </c>
      <c r="N510">
        <v>22</v>
      </c>
      <c r="O510" t="s">
        <v>24</v>
      </c>
      <c r="P510" t="s">
        <v>40</v>
      </c>
      <c r="Q510" t="s">
        <v>41</v>
      </c>
      <c r="R510" s="7">
        <v>2</v>
      </c>
      <c r="S510" s="7">
        <v>4</v>
      </c>
      <c r="T510" t="s">
        <v>29</v>
      </c>
    </row>
    <row r="511" spans="1:20" x14ac:dyDescent="0.3">
      <c r="A511">
        <v>510</v>
      </c>
      <c r="B511" s="1">
        <v>44927</v>
      </c>
      <c r="C511">
        <v>2023</v>
      </c>
      <c r="D511">
        <v>1</v>
      </c>
      <c r="E511" t="s">
        <v>20</v>
      </c>
      <c r="F511">
        <v>1</v>
      </c>
      <c r="G511" t="s">
        <v>21</v>
      </c>
      <c r="H511" s="2">
        <v>46203.870104166665</v>
      </c>
      <c r="I511">
        <v>18</v>
      </c>
      <c r="J511" t="s">
        <v>123</v>
      </c>
      <c r="K511" s="8">
        <v>2</v>
      </c>
      <c r="L511">
        <v>3</v>
      </c>
      <c r="M511" t="s">
        <v>114</v>
      </c>
      <c r="N511">
        <v>59</v>
      </c>
      <c r="O511" t="s">
        <v>35</v>
      </c>
      <c r="P511" t="s">
        <v>36</v>
      </c>
      <c r="Q511" t="s">
        <v>37</v>
      </c>
      <c r="R511" s="7">
        <v>4.5</v>
      </c>
      <c r="S511" s="7">
        <v>9</v>
      </c>
      <c r="T511" t="s">
        <v>29</v>
      </c>
    </row>
    <row r="512" spans="1:20" x14ac:dyDescent="0.3">
      <c r="A512">
        <v>511</v>
      </c>
      <c r="B512" s="1">
        <v>44927</v>
      </c>
      <c r="C512">
        <v>2023</v>
      </c>
      <c r="D512">
        <v>1</v>
      </c>
      <c r="E512" t="s">
        <v>20</v>
      </c>
      <c r="F512">
        <v>1</v>
      </c>
      <c r="G512" t="s">
        <v>21</v>
      </c>
      <c r="H512" s="2">
        <v>46203.871747685182</v>
      </c>
      <c r="I512">
        <v>18</v>
      </c>
      <c r="J512" t="s">
        <v>123</v>
      </c>
      <c r="K512" s="8">
        <v>2</v>
      </c>
      <c r="L512">
        <v>3</v>
      </c>
      <c r="M512" t="s">
        <v>114</v>
      </c>
      <c r="N512">
        <v>56</v>
      </c>
      <c r="O512" t="s">
        <v>30</v>
      </c>
      <c r="P512" t="s">
        <v>31</v>
      </c>
      <c r="Q512" t="s">
        <v>54</v>
      </c>
      <c r="R512" s="7">
        <v>2.5499999999999998</v>
      </c>
      <c r="S512" s="7">
        <v>5.0999999999999996</v>
      </c>
      <c r="T512" t="s">
        <v>29</v>
      </c>
    </row>
    <row r="513" spans="1:20" x14ac:dyDescent="0.3">
      <c r="A513">
        <v>512</v>
      </c>
      <c r="B513" s="1">
        <v>44927</v>
      </c>
      <c r="C513">
        <v>2023</v>
      </c>
      <c r="D513">
        <v>1</v>
      </c>
      <c r="E513" t="s">
        <v>20</v>
      </c>
      <c r="F513">
        <v>1</v>
      </c>
      <c r="G513" t="s">
        <v>21</v>
      </c>
      <c r="H513" s="2">
        <v>46203.872499999998</v>
      </c>
      <c r="I513">
        <v>18</v>
      </c>
      <c r="J513" t="s">
        <v>123</v>
      </c>
      <c r="K513" s="8">
        <v>2</v>
      </c>
      <c r="L513">
        <v>8</v>
      </c>
      <c r="M513" t="s">
        <v>64</v>
      </c>
      <c r="N513">
        <v>53</v>
      </c>
      <c r="O513" t="s">
        <v>30</v>
      </c>
      <c r="P513" t="s">
        <v>31</v>
      </c>
      <c r="Q513" t="s">
        <v>104</v>
      </c>
      <c r="R513" s="7">
        <v>3</v>
      </c>
      <c r="S513" s="7">
        <v>6</v>
      </c>
      <c r="T513" t="s">
        <v>29</v>
      </c>
    </row>
    <row r="514" spans="1:20" x14ac:dyDescent="0.3">
      <c r="A514">
        <v>513</v>
      </c>
      <c r="B514" s="1">
        <v>44927</v>
      </c>
      <c r="C514">
        <v>2023</v>
      </c>
      <c r="D514">
        <v>1</v>
      </c>
      <c r="E514" t="s">
        <v>20</v>
      </c>
      <c r="F514">
        <v>1</v>
      </c>
      <c r="G514" t="s">
        <v>21</v>
      </c>
      <c r="H514" s="2">
        <v>46203.872627314813</v>
      </c>
      <c r="I514">
        <v>18</v>
      </c>
      <c r="J514" t="s">
        <v>123</v>
      </c>
      <c r="K514" s="8">
        <v>2</v>
      </c>
      <c r="L514">
        <v>8</v>
      </c>
      <c r="M514" t="s">
        <v>64</v>
      </c>
      <c r="N514">
        <v>39</v>
      </c>
      <c r="O514" t="s">
        <v>24</v>
      </c>
      <c r="P514" t="s">
        <v>48</v>
      </c>
      <c r="Q514" t="s">
        <v>49</v>
      </c>
      <c r="R514" s="7">
        <v>4.25</v>
      </c>
      <c r="S514" s="7">
        <v>8.5</v>
      </c>
      <c r="T514" t="s">
        <v>29</v>
      </c>
    </row>
    <row r="515" spans="1:20" x14ac:dyDescent="0.3">
      <c r="A515">
        <v>514</v>
      </c>
      <c r="B515" s="1">
        <v>44927</v>
      </c>
      <c r="C515">
        <v>2023</v>
      </c>
      <c r="D515">
        <v>1</v>
      </c>
      <c r="E515" t="s">
        <v>20</v>
      </c>
      <c r="F515">
        <v>1</v>
      </c>
      <c r="G515" t="s">
        <v>21</v>
      </c>
      <c r="H515" s="2">
        <v>46203.872627314813</v>
      </c>
      <c r="I515">
        <v>18</v>
      </c>
      <c r="J515" t="s">
        <v>123</v>
      </c>
      <c r="K515" s="8">
        <v>1</v>
      </c>
      <c r="L515">
        <v>8</v>
      </c>
      <c r="M515" t="s">
        <v>64</v>
      </c>
      <c r="N515">
        <v>73</v>
      </c>
      <c r="O515" t="s">
        <v>43</v>
      </c>
      <c r="P515" t="s">
        <v>78</v>
      </c>
      <c r="Q515" t="s">
        <v>113</v>
      </c>
      <c r="R515" s="7">
        <v>3.75</v>
      </c>
      <c r="S515" s="7">
        <v>3.75</v>
      </c>
      <c r="T515" t="s">
        <v>29</v>
      </c>
    </row>
    <row r="516" spans="1:20" x14ac:dyDescent="0.3">
      <c r="A516">
        <v>515</v>
      </c>
      <c r="B516" s="1">
        <v>44927</v>
      </c>
      <c r="C516">
        <v>2023</v>
      </c>
      <c r="D516">
        <v>1</v>
      </c>
      <c r="E516" t="s">
        <v>20</v>
      </c>
      <c r="F516">
        <v>1</v>
      </c>
      <c r="G516" t="s">
        <v>21</v>
      </c>
      <c r="H516" s="2">
        <v>46203.8753125</v>
      </c>
      <c r="I516">
        <v>19</v>
      </c>
      <c r="J516" t="s">
        <v>123</v>
      </c>
      <c r="K516" s="8">
        <v>1</v>
      </c>
      <c r="L516">
        <v>3</v>
      </c>
      <c r="M516" t="s">
        <v>114</v>
      </c>
      <c r="N516">
        <v>43</v>
      </c>
      <c r="O516" t="s">
        <v>30</v>
      </c>
      <c r="P516" t="s">
        <v>65</v>
      </c>
      <c r="Q516" t="s">
        <v>75</v>
      </c>
      <c r="R516" s="7">
        <v>3</v>
      </c>
      <c r="S516" s="7">
        <v>3</v>
      </c>
      <c r="T516" t="s">
        <v>29</v>
      </c>
    </row>
    <row r="517" spans="1:20" x14ac:dyDescent="0.3">
      <c r="A517">
        <v>516</v>
      </c>
      <c r="B517" s="1">
        <v>44927</v>
      </c>
      <c r="C517">
        <v>2023</v>
      </c>
      <c r="D517">
        <v>1</v>
      </c>
      <c r="E517" t="s">
        <v>20</v>
      </c>
      <c r="F517">
        <v>1</v>
      </c>
      <c r="G517" t="s">
        <v>21</v>
      </c>
      <c r="H517" s="2">
        <v>46203.87699074074</v>
      </c>
      <c r="I517">
        <v>19</v>
      </c>
      <c r="J517" t="s">
        <v>123</v>
      </c>
      <c r="K517" s="8">
        <v>2</v>
      </c>
      <c r="L517">
        <v>8</v>
      </c>
      <c r="M517" t="s">
        <v>64</v>
      </c>
      <c r="N517">
        <v>37</v>
      </c>
      <c r="O517" t="s">
        <v>24</v>
      </c>
      <c r="P517" t="s">
        <v>48</v>
      </c>
      <c r="Q517" t="s">
        <v>107</v>
      </c>
      <c r="R517" s="7">
        <v>3</v>
      </c>
      <c r="S517" s="7">
        <v>6</v>
      </c>
      <c r="T517" t="s">
        <v>29</v>
      </c>
    </row>
    <row r="518" spans="1:20" x14ac:dyDescent="0.3">
      <c r="A518">
        <v>517</v>
      </c>
      <c r="B518" s="1">
        <v>44927</v>
      </c>
      <c r="C518">
        <v>2023</v>
      </c>
      <c r="D518">
        <v>1</v>
      </c>
      <c r="E518" t="s">
        <v>20</v>
      </c>
      <c r="F518">
        <v>1</v>
      </c>
      <c r="G518" t="s">
        <v>21</v>
      </c>
      <c r="H518" s="2">
        <v>46203.879837962966</v>
      </c>
      <c r="I518">
        <v>19</v>
      </c>
      <c r="J518" t="s">
        <v>123</v>
      </c>
      <c r="K518" s="8">
        <v>1</v>
      </c>
      <c r="L518">
        <v>8</v>
      </c>
      <c r="M518" t="s">
        <v>64</v>
      </c>
      <c r="N518">
        <v>38</v>
      </c>
      <c r="O518" t="s">
        <v>24</v>
      </c>
      <c r="P518" t="s">
        <v>48</v>
      </c>
      <c r="Q518" t="s">
        <v>81</v>
      </c>
      <c r="R518" s="7">
        <v>3.75</v>
      </c>
      <c r="S518" s="7">
        <v>3.75</v>
      </c>
      <c r="T518" t="s">
        <v>29</v>
      </c>
    </row>
    <row r="519" spans="1:20" x14ac:dyDescent="0.3">
      <c r="A519">
        <v>518</v>
      </c>
      <c r="B519" s="1">
        <v>44927</v>
      </c>
      <c r="C519">
        <v>2023</v>
      </c>
      <c r="D519">
        <v>1</v>
      </c>
      <c r="E519" t="s">
        <v>20</v>
      </c>
      <c r="F519">
        <v>1</v>
      </c>
      <c r="G519" t="s">
        <v>21</v>
      </c>
      <c r="H519" s="2">
        <v>46203.880162037036</v>
      </c>
      <c r="I519">
        <v>19</v>
      </c>
      <c r="J519" t="s">
        <v>123</v>
      </c>
      <c r="K519" s="8">
        <v>2</v>
      </c>
      <c r="L519">
        <v>8</v>
      </c>
      <c r="M519" t="s">
        <v>64</v>
      </c>
      <c r="N519">
        <v>24</v>
      </c>
      <c r="O519" t="s">
        <v>24</v>
      </c>
      <c r="P519" t="s">
        <v>40</v>
      </c>
      <c r="Q519" t="s">
        <v>89</v>
      </c>
      <c r="R519" s="7">
        <v>3</v>
      </c>
      <c r="S519" s="7">
        <v>6</v>
      </c>
      <c r="T519" t="s">
        <v>29</v>
      </c>
    </row>
    <row r="520" spans="1:20" x14ac:dyDescent="0.3">
      <c r="A520">
        <v>519</v>
      </c>
      <c r="B520" s="1">
        <v>44927</v>
      </c>
      <c r="C520">
        <v>2023</v>
      </c>
      <c r="D520">
        <v>1</v>
      </c>
      <c r="E520" t="s">
        <v>20</v>
      </c>
      <c r="F520">
        <v>1</v>
      </c>
      <c r="G520" t="s">
        <v>21</v>
      </c>
      <c r="H520" s="2">
        <v>46203.880324074074</v>
      </c>
      <c r="I520">
        <v>19</v>
      </c>
      <c r="J520" t="s">
        <v>123</v>
      </c>
      <c r="K520" s="8">
        <v>1</v>
      </c>
      <c r="L520">
        <v>3</v>
      </c>
      <c r="M520" t="s">
        <v>114</v>
      </c>
      <c r="N520">
        <v>55</v>
      </c>
      <c r="O520" t="s">
        <v>30</v>
      </c>
      <c r="P520" t="s">
        <v>31</v>
      </c>
      <c r="Q520" t="s">
        <v>88</v>
      </c>
      <c r="R520" s="7">
        <v>4</v>
      </c>
      <c r="S520" s="7">
        <v>4</v>
      </c>
      <c r="T520" t="s">
        <v>29</v>
      </c>
    </row>
    <row r="521" spans="1:20" x14ac:dyDescent="0.3">
      <c r="A521">
        <v>520</v>
      </c>
      <c r="B521" s="1">
        <v>44927</v>
      </c>
      <c r="C521">
        <v>2023</v>
      </c>
      <c r="D521">
        <v>1</v>
      </c>
      <c r="E521" t="s">
        <v>20</v>
      </c>
      <c r="F521">
        <v>1</v>
      </c>
      <c r="G521" t="s">
        <v>21</v>
      </c>
      <c r="H521" s="2">
        <v>46203.880682870367</v>
      </c>
      <c r="I521">
        <v>19</v>
      </c>
      <c r="J521" t="s">
        <v>123</v>
      </c>
      <c r="K521" s="8">
        <v>2</v>
      </c>
      <c r="L521">
        <v>8</v>
      </c>
      <c r="M521" t="s">
        <v>64</v>
      </c>
      <c r="N521">
        <v>27</v>
      </c>
      <c r="O521" t="s">
        <v>24</v>
      </c>
      <c r="P521" t="s">
        <v>82</v>
      </c>
      <c r="Q521" t="s">
        <v>84</v>
      </c>
      <c r="R521" s="7">
        <v>3.5</v>
      </c>
      <c r="S521" s="7">
        <v>7</v>
      </c>
      <c r="T521" t="s">
        <v>29</v>
      </c>
    </row>
    <row r="522" spans="1:20" x14ac:dyDescent="0.3">
      <c r="A522">
        <v>521</v>
      </c>
      <c r="B522" s="1">
        <v>44927</v>
      </c>
      <c r="C522">
        <v>2023</v>
      </c>
      <c r="D522">
        <v>1</v>
      </c>
      <c r="E522" t="s">
        <v>20</v>
      </c>
      <c r="F522">
        <v>1</v>
      </c>
      <c r="G522" t="s">
        <v>21</v>
      </c>
      <c r="H522" s="2">
        <v>46203.881203703706</v>
      </c>
      <c r="I522">
        <v>19</v>
      </c>
      <c r="J522" t="s">
        <v>123</v>
      </c>
      <c r="K522" s="8">
        <v>1</v>
      </c>
      <c r="L522">
        <v>3</v>
      </c>
      <c r="M522" t="s">
        <v>114</v>
      </c>
      <c r="N522">
        <v>60</v>
      </c>
      <c r="O522" t="s">
        <v>35</v>
      </c>
      <c r="P522" t="s">
        <v>36</v>
      </c>
      <c r="Q522" t="s">
        <v>90</v>
      </c>
      <c r="R522" s="7">
        <v>3.75</v>
      </c>
      <c r="S522" s="7">
        <v>3.75</v>
      </c>
      <c r="T522" t="s">
        <v>29</v>
      </c>
    </row>
    <row r="523" spans="1:20" x14ac:dyDescent="0.3">
      <c r="A523">
        <v>522</v>
      </c>
      <c r="B523" s="1">
        <v>44927</v>
      </c>
      <c r="C523">
        <v>2023</v>
      </c>
      <c r="D523">
        <v>1</v>
      </c>
      <c r="E523" t="s">
        <v>20</v>
      </c>
      <c r="F523">
        <v>1</v>
      </c>
      <c r="G523" t="s">
        <v>21</v>
      </c>
      <c r="H523" s="2">
        <v>46203.881874999999</v>
      </c>
      <c r="I523">
        <v>19</v>
      </c>
      <c r="J523" t="s">
        <v>123</v>
      </c>
      <c r="K523" s="8">
        <v>1</v>
      </c>
      <c r="L523">
        <v>8</v>
      </c>
      <c r="M523" t="s">
        <v>64</v>
      </c>
      <c r="N523">
        <v>41</v>
      </c>
      <c r="O523" t="s">
        <v>24</v>
      </c>
      <c r="P523" t="s">
        <v>48</v>
      </c>
      <c r="Q523" t="s">
        <v>105</v>
      </c>
      <c r="R523" s="7">
        <v>4.25</v>
      </c>
      <c r="S523" s="7">
        <v>4.25</v>
      </c>
      <c r="T523" t="s">
        <v>29</v>
      </c>
    </row>
    <row r="524" spans="1:20" x14ac:dyDescent="0.3">
      <c r="A524">
        <v>523</v>
      </c>
      <c r="B524" s="1">
        <v>44927</v>
      </c>
      <c r="C524">
        <v>2023</v>
      </c>
      <c r="D524">
        <v>1</v>
      </c>
      <c r="E524" t="s">
        <v>20</v>
      </c>
      <c r="F524">
        <v>1</v>
      </c>
      <c r="G524" t="s">
        <v>21</v>
      </c>
      <c r="H524" s="2">
        <v>46203.88212962963</v>
      </c>
      <c r="I524">
        <v>19</v>
      </c>
      <c r="J524" t="s">
        <v>123</v>
      </c>
      <c r="K524" s="8">
        <v>2</v>
      </c>
      <c r="L524">
        <v>3</v>
      </c>
      <c r="M524" t="s">
        <v>114</v>
      </c>
      <c r="N524">
        <v>27</v>
      </c>
      <c r="O524" t="s">
        <v>24</v>
      </c>
      <c r="P524" t="s">
        <v>82</v>
      </c>
      <c r="Q524" t="s">
        <v>84</v>
      </c>
      <c r="R524" s="7">
        <v>3.5</v>
      </c>
      <c r="S524" s="7">
        <v>7</v>
      </c>
      <c r="T524" t="s">
        <v>29</v>
      </c>
    </row>
    <row r="525" spans="1:20" x14ac:dyDescent="0.3">
      <c r="A525">
        <v>524</v>
      </c>
      <c r="B525" s="1">
        <v>44927</v>
      </c>
      <c r="C525">
        <v>2023</v>
      </c>
      <c r="D525">
        <v>1</v>
      </c>
      <c r="E525" t="s">
        <v>20</v>
      </c>
      <c r="F525">
        <v>1</v>
      </c>
      <c r="G525" t="s">
        <v>21</v>
      </c>
      <c r="H525" s="2">
        <v>46203.882557870369</v>
      </c>
      <c r="I525">
        <v>19</v>
      </c>
      <c r="J525" t="s">
        <v>123</v>
      </c>
      <c r="K525" s="8">
        <v>2</v>
      </c>
      <c r="L525">
        <v>8</v>
      </c>
      <c r="M525" t="s">
        <v>64</v>
      </c>
      <c r="N525">
        <v>55</v>
      </c>
      <c r="O525" t="s">
        <v>30</v>
      </c>
      <c r="P525" t="s">
        <v>31</v>
      </c>
      <c r="Q525" t="s">
        <v>88</v>
      </c>
      <c r="R525" s="7">
        <v>4</v>
      </c>
      <c r="S525" s="7">
        <v>8</v>
      </c>
      <c r="T525" t="s">
        <v>29</v>
      </c>
    </row>
    <row r="526" spans="1:20" x14ac:dyDescent="0.3">
      <c r="A526">
        <v>525</v>
      </c>
      <c r="B526" s="1">
        <v>44927</v>
      </c>
      <c r="C526">
        <v>2023</v>
      </c>
      <c r="D526">
        <v>1</v>
      </c>
      <c r="E526" t="s">
        <v>20</v>
      </c>
      <c r="F526">
        <v>1</v>
      </c>
      <c r="G526" t="s">
        <v>21</v>
      </c>
      <c r="H526" s="2">
        <v>46203.883900462963</v>
      </c>
      <c r="I526">
        <v>19</v>
      </c>
      <c r="J526" t="s">
        <v>123</v>
      </c>
      <c r="K526" s="8">
        <v>2</v>
      </c>
      <c r="L526">
        <v>3</v>
      </c>
      <c r="M526" t="s">
        <v>114</v>
      </c>
      <c r="N526">
        <v>40</v>
      </c>
      <c r="O526" t="s">
        <v>24</v>
      </c>
      <c r="P526" t="s">
        <v>48</v>
      </c>
      <c r="Q526" t="s">
        <v>74</v>
      </c>
      <c r="R526" s="7">
        <v>3.75</v>
      </c>
      <c r="S526" s="7">
        <v>7.5</v>
      </c>
      <c r="T526" t="s">
        <v>29</v>
      </c>
    </row>
    <row r="527" spans="1:20" x14ac:dyDescent="0.3">
      <c r="A527">
        <v>526</v>
      </c>
      <c r="B527" s="1">
        <v>44927</v>
      </c>
      <c r="C527">
        <v>2023</v>
      </c>
      <c r="D527">
        <v>1</v>
      </c>
      <c r="E527" t="s">
        <v>20</v>
      </c>
      <c r="F527">
        <v>1</v>
      </c>
      <c r="G527" t="s">
        <v>21</v>
      </c>
      <c r="H527" s="2">
        <v>46203.884826388887</v>
      </c>
      <c r="I527">
        <v>19</v>
      </c>
      <c r="J527" t="s">
        <v>123</v>
      </c>
      <c r="K527" s="8">
        <v>2</v>
      </c>
      <c r="L527">
        <v>3</v>
      </c>
      <c r="M527" t="s">
        <v>114</v>
      </c>
      <c r="N527">
        <v>32</v>
      </c>
      <c r="O527" t="s">
        <v>24</v>
      </c>
      <c r="P527" t="s">
        <v>25</v>
      </c>
      <c r="Q527" t="s">
        <v>26</v>
      </c>
      <c r="R527" s="7">
        <v>3</v>
      </c>
      <c r="S527" s="7">
        <v>6</v>
      </c>
      <c r="T527" t="s">
        <v>29</v>
      </c>
    </row>
    <row r="528" spans="1:20" x14ac:dyDescent="0.3">
      <c r="A528">
        <v>527</v>
      </c>
      <c r="B528" s="1">
        <v>44927</v>
      </c>
      <c r="C528">
        <v>2023</v>
      </c>
      <c r="D528">
        <v>1</v>
      </c>
      <c r="E528" t="s">
        <v>20</v>
      </c>
      <c r="F528">
        <v>1</v>
      </c>
      <c r="G528" t="s">
        <v>21</v>
      </c>
      <c r="H528" s="2">
        <v>46203.88559027778</v>
      </c>
      <c r="I528">
        <v>19</v>
      </c>
      <c r="J528" t="s">
        <v>123</v>
      </c>
      <c r="K528" s="8">
        <v>1</v>
      </c>
      <c r="L528">
        <v>3</v>
      </c>
      <c r="M528" t="s">
        <v>114</v>
      </c>
      <c r="N528">
        <v>55</v>
      </c>
      <c r="O528" t="s">
        <v>30</v>
      </c>
      <c r="P528" t="s">
        <v>31</v>
      </c>
      <c r="Q528" t="s">
        <v>88</v>
      </c>
      <c r="R528" s="7">
        <v>4</v>
      </c>
      <c r="S528" s="7">
        <v>4</v>
      </c>
      <c r="T528" t="s">
        <v>29</v>
      </c>
    </row>
    <row r="529" spans="1:20" x14ac:dyDescent="0.3">
      <c r="A529">
        <v>528</v>
      </c>
      <c r="B529" s="1">
        <v>44927</v>
      </c>
      <c r="C529">
        <v>2023</v>
      </c>
      <c r="D529">
        <v>1</v>
      </c>
      <c r="E529" t="s">
        <v>20</v>
      </c>
      <c r="F529">
        <v>1</v>
      </c>
      <c r="G529" t="s">
        <v>21</v>
      </c>
      <c r="H529" s="2">
        <v>46203.889988425923</v>
      </c>
      <c r="I529">
        <v>19</v>
      </c>
      <c r="J529" t="s">
        <v>123</v>
      </c>
      <c r="K529" s="8">
        <v>1</v>
      </c>
      <c r="L529">
        <v>8</v>
      </c>
      <c r="M529" t="s">
        <v>64</v>
      </c>
      <c r="N529">
        <v>49</v>
      </c>
      <c r="O529" t="s">
        <v>30</v>
      </c>
      <c r="P529" t="s">
        <v>57</v>
      </c>
      <c r="Q529" t="s">
        <v>117</v>
      </c>
      <c r="R529" s="7">
        <v>3</v>
      </c>
      <c r="S529" s="7">
        <v>3</v>
      </c>
      <c r="T529" t="s">
        <v>29</v>
      </c>
    </row>
    <row r="530" spans="1:20" x14ac:dyDescent="0.3">
      <c r="A530">
        <v>529</v>
      </c>
      <c r="B530" s="1">
        <v>44927</v>
      </c>
      <c r="C530">
        <v>2023</v>
      </c>
      <c r="D530">
        <v>1</v>
      </c>
      <c r="E530" t="s">
        <v>20</v>
      </c>
      <c r="F530">
        <v>1</v>
      </c>
      <c r="G530" t="s">
        <v>21</v>
      </c>
      <c r="H530" s="2">
        <v>46203.890729166669</v>
      </c>
      <c r="I530">
        <v>19</v>
      </c>
      <c r="J530" t="s">
        <v>123</v>
      </c>
      <c r="K530" s="8">
        <v>1</v>
      </c>
      <c r="L530">
        <v>8</v>
      </c>
      <c r="M530" t="s">
        <v>64</v>
      </c>
      <c r="N530">
        <v>40</v>
      </c>
      <c r="O530" t="s">
        <v>24</v>
      </c>
      <c r="P530" t="s">
        <v>48</v>
      </c>
      <c r="Q530" t="s">
        <v>74</v>
      </c>
      <c r="R530" s="7">
        <v>3.75</v>
      </c>
      <c r="S530" s="7">
        <v>3.75</v>
      </c>
      <c r="T530" t="s">
        <v>29</v>
      </c>
    </row>
    <row r="531" spans="1:20" x14ac:dyDescent="0.3">
      <c r="A531">
        <v>530</v>
      </c>
      <c r="B531" s="1">
        <v>44927</v>
      </c>
      <c r="C531">
        <v>2023</v>
      </c>
      <c r="D531">
        <v>1</v>
      </c>
      <c r="E531" t="s">
        <v>20</v>
      </c>
      <c r="F531">
        <v>1</v>
      </c>
      <c r="G531" t="s">
        <v>21</v>
      </c>
      <c r="H531" s="2">
        <v>46203.891875000001</v>
      </c>
      <c r="I531">
        <v>19</v>
      </c>
      <c r="J531" t="s">
        <v>123</v>
      </c>
      <c r="K531" s="8">
        <v>1</v>
      </c>
      <c r="L531">
        <v>8</v>
      </c>
      <c r="M531" t="s">
        <v>64</v>
      </c>
      <c r="N531">
        <v>46</v>
      </c>
      <c r="O531" t="s">
        <v>30</v>
      </c>
      <c r="P531" t="s">
        <v>60</v>
      </c>
      <c r="Q531" t="s">
        <v>95</v>
      </c>
      <c r="R531" s="7">
        <v>2.5</v>
      </c>
      <c r="S531" s="7">
        <v>2.5</v>
      </c>
      <c r="T531" t="s">
        <v>29</v>
      </c>
    </row>
    <row r="532" spans="1:20" x14ac:dyDescent="0.3">
      <c r="A532">
        <v>531</v>
      </c>
      <c r="B532" s="1">
        <v>44927</v>
      </c>
      <c r="C532">
        <v>2023</v>
      </c>
      <c r="D532">
        <v>1</v>
      </c>
      <c r="E532" t="s">
        <v>20</v>
      </c>
      <c r="F532">
        <v>1</v>
      </c>
      <c r="G532" t="s">
        <v>21</v>
      </c>
      <c r="H532" s="2">
        <v>46203.891875000001</v>
      </c>
      <c r="I532">
        <v>19</v>
      </c>
      <c r="J532" t="s">
        <v>123</v>
      </c>
      <c r="K532" s="8">
        <v>1</v>
      </c>
      <c r="L532">
        <v>8</v>
      </c>
      <c r="M532" t="s">
        <v>64</v>
      </c>
      <c r="N532">
        <v>77</v>
      </c>
      <c r="O532" t="s">
        <v>43</v>
      </c>
      <c r="P532" t="s">
        <v>44</v>
      </c>
      <c r="Q532" t="s">
        <v>45</v>
      </c>
      <c r="R532" s="7">
        <v>3</v>
      </c>
      <c r="S532" s="7">
        <v>3</v>
      </c>
      <c r="T532" t="s">
        <v>29</v>
      </c>
    </row>
    <row r="533" spans="1:20" x14ac:dyDescent="0.3">
      <c r="A533">
        <v>532</v>
      </c>
      <c r="B533" s="1">
        <v>44927</v>
      </c>
      <c r="C533">
        <v>2023</v>
      </c>
      <c r="D533">
        <v>1</v>
      </c>
      <c r="E533" t="s">
        <v>20</v>
      </c>
      <c r="F533">
        <v>1</v>
      </c>
      <c r="G533" t="s">
        <v>21</v>
      </c>
      <c r="H533" s="2">
        <v>46203.895150462966</v>
      </c>
      <c r="I533">
        <v>19</v>
      </c>
      <c r="J533" t="s">
        <v>123</v>
      </c>
      <c r="K533" s="8">
        <v>2</v>
      </c>
      <c r="L533">
        <v>3</v>
      </c>
      <c r="M533" t="s">
        <v>114</v>
      </c>
      <c r="N533">
        <v>44</v>
      </c>
      <c r="O533" t="s">
        <v>30</v>
      </c>
      <c r="P533" t="s">
        <v>65</v>
      </c>
      <c r="Q533" t="s">
        <v>92</v>
      </c>
      <c r="R533" s="7">
        <v>2.5</v>
      </c>
      <c r="S533" s="7">
        <v>5</v>
      </c>
      <c r="T533" t="s">
        <v>29</v>
      </c>
    </row>
    <row r="534" spans="1:20" x14ac:dyDescent="0.3">
      <c r="A534">
        <v>533</v>
      </c>
      <c r="B534" s="1">
        <v>44927</v>
      </c>
      <c r="C534">
        <v>2023</v>
      </c>
      <c r="D534">
        <v>1</v>
      </c>
      <c r="E534" t="s">
        <v>20</v>
      </c>
      <c r="F534">
        <v>1</v>
      </c>
      <c r="G534" t="s">
        <v>21</v>
      </c>
      <c r="H534" s="2">
        <v>46203.895219907405</v>
      </c>
      <c r="I534">
        <v>19</v>
      </c>
      <c r="J534" t="s">
        <v>123</v>
      </c>
      <c r="K534" s="8">
        <v>1</v>
      </c>
      <c r="L534">
        <v>3</v>
      </c>
      <c r="M534" t="s">
        <v>114</v>
      </c>
      <c r="N534">
        <v>38</v>
      </c>
      <c r="O534" t="s">
        <v>24</v>
      </c>
      <c r="P534" t="s">
        <v>48</v>
      </c>
      <c r="Q534" t="s">
        <v>81</v>
      </c>
      <c r="R534" s="7">
        <v>3.75</v>
      </c>
      <c r="S534" s="7">
        <v>3.75</v>
      </c>
      <c r="T534" t="s">
        <v>29</v>
      </c>
    </row>
    <row r="535" spans="1:20" x14ac:dyDescent="0.3">
      <c r="A535">
        <v>534</v>
      </c>
      <c r="B535" s="1">
        <v>44927</v>
      </c>
      <c r="C535">
        <v>2023</v>
      </c>
      <c r="D535">
        <v>1</v>
      </c>
      <c r="E535" t="s">
        <v>20</v>
      </c>
      <c r="F535">
        <v>1</v>
      </c>
      <c r="G535" t="s">
        <v>21</v>
      </c>
      <c r="H535" s="2">
        <v>46203.896469907406</v>
      </c>
      <c r="I535">
        <v>19</v>
      </c>
      <c r="J535" t="s">
        <v>123</v>
      </c>
      <c r="K535" s="8">
        <v>2</v>
      </c>
      <c r="L535">
        <v>3</v>
      </c>
      <c r="M535" t="s">
        <v>114</v>
      </c>
      <c r="N535">
        <v>51</v>
      </c>
      <c r="O535" t="s">
        <v>30</v>
      </c>
      <c r="P535" t="s">
        <v>57</v>
      </c>
      <c r="Q535" t="s">
        <v>58</v>
      </c>
      <c r="R535" s="7">
        <v>3</v>
      </c>
      <c r="S535" s="7">
        <v>6</v>
      </c>
      <c r="T535" t="s">
        <v>29</v>
      </c>
    </row>
    <row r="536" spans="1:20" x14ac:dyDescent="0.3">
      <c r="A536">
        <v>535</v>
      </c>
      <c r="B536" s="1">
        <v>44927</v>
      </c>
      <c r="C536">
        <v>2023</v>
      </c>
      <c r="D536">
        <v>1</v>
      </c>
      <c r="E536" t="s">
        <v>20</v>
      </c>
      <c r="F536">
        <v>1</v>
      </c>
      <c r="G536" t="s">
        <v>21</v>
      </c>
      <c r="H536" s="2">
        <v>46203.898645833331</v>
      </c>
      <c r="I536">
        <v>19</v>
      </c>
      <c r="J536" t="s">
        <v>123</v>
      </c>
      <c r="K536" s="8">
        <v>1</v>
      </c>
      <c r="L536">
        <v>8</v>
      </c>
      <c r="M536" t="s">
        <v>64</v>
      </c>
      <c r="N536">
        <v>43</v>
      </c>
      <c r="O536" t="s">
        <v>30</v>
      </c>
      <c r="P536" t="s">
        <v>65</v>
      </c>
      <c r="Q536" t="s">
        <v>75</v>
      </c>
      <c r="R536" s="7">
        <v>3</v>
      </c>
      <c r="S536" s="7">
        <v>3</v>
      </c>
      <c r="T536" t="s">
        <v>29</v>
      </c>
    </row>
    <row r="537" spans="1:20" x14ac:dyDescent="0.3">
      <c r="A537">
        <v>536</v>
      </c>
      <c r="B537" s="1">
        <v>44927</v>
      </c>
      <c r="C537">
        <v>2023</v>
      </c>
      <c r="D537">
        <v>1</v>
      </c>
      <c r="E537" t="s">
        <v>20</v>
      </c>
      <c r="F537">
        <v>1</v>
      </c>
      <c r="G537" t="s">
        <v>21</v>
      </c>
      <c r="H537" s="2">
        <v>46203.899062500001</v>
      </c>
      <c r="I537">
        <v>19</v>
      </c>
      <c r="J537" t="s">
        <v>123</v>
      </c>
      <c r="K537" s="8">
        <v>2</v>
      </c>
      <c r="L537">
        <v>8</v>
      </c>
      <c r="M537" t="s">
        <v>64</v>
      </c>
      <c r="N537">
        <v>61</v>
      </c>
      <c r="O537" t="s">
        <v>35</v>
      </c>
      <c r="P537" t="s">
        <v>36</v>
      </c>
      <c r="Q537" t="s">
        <v>68</v>
      </c>
      <c r="R537" s="7">
        <v>4.75</v>
      </c>
      <c r="S537" s="7">
        <v>9.5</v>
      </c>
      <c r="T537" t="s">
        <v>29</v>
      </c>
    </row>
    <row r="538" spans="1:20" x14ac:dyDescent="0.3">
      <c r="A538">
        <v>537</v>
      </c>
      <c r="B538" s="1">
        <v>44927</v>
      </c>
      <c r="C538">
        <v>2023</v>
      </c>
      <c r="D538">
        <v>1</v>
      </c>
      <c r="E538" t="s">
        <v>20</v>
      </c>
      <c r="F538">
        <v>1</v>
      </c>
      <c r="G538" t="s">
        <v>21</v>
      </c>
      <c r="H538" s="2">
        <v>46203.89916666667</v>
      </c>
      <c r="I538">
        <v>19</v>
      </c>
      <c r="J538" t="s">
        <v>123</v>
      </c>
      <c r="K538" s="8">
        <v>1</v>
      </c>
      <c r="L538">
        <v>3</v>
      </c>
      <c r="M538" t="s">
        <v>114</v>
      </c>
      <c r="N538">
        <v>40</v>
      </c>
      <c r="O538" t="s">
        <v>24</v>
      </c>
      <c r="P538" t="s">
        <v>48</v>
      </c>
      <c r="Q538" t="s">
        <v>74</v>
      </c>
      <c r="R538" s="7">
        <v>3.75</v>
      </c>
      <c r="S538" s="7">
        <v>3.75</v>
      </c>
      <c r="T538" t="s">
        <v>29</v>
      </c>
    </row>
    <row r="539" spans="1:20" x14ac:dyDescent="0.3">
      <c r="A539">
        <v>538</v>
      </c>
      <c r="B539" s="1">
        <v>44927</v>
      </c>
      <c r="C539">
        <v>2023</v>
      </c>
      <c r="D539">
        <v>1</v>
      </c>
      <c r="E539" t="s">
        <v>20</v>
      </c>
      <c r="F539">
        <v>1</v>
      </c>
      <c r="G539" t="s">
        <v>21</v>
      </c>
      <c r="H539" s="2">
        <v>46203.899942129632</v>
      </c>
      <c r="I539">
        <v>19</v>
      </c>
      <c r="J539" t="s">
        <v>123</v>
      </c>
      <c r="K539" s="8">
        <v>2</v>
      </c>
      <c r="L539">
        <v>8</v>
      </c>
      <c r="M539" t="s">
        <v>64</v>
      </c>
      <c r="N539">
        <v>27</v>
      </c>
      <c r="O539" t="s">
        <v>24</v>
      </c>
      <c r="P539" t="s">
        <v>82</v>
      </c>
      <c r="Q539" t="s">
        <v>84</v>
      </c>
      <c r="R539" s="7">
        <v>3.5</v>
      </c>
      <c r="S539" s="7">
        <v>7</v>
      </c>
      <c r="T539" t="s">
        <v>29</v>
      </c>
    </row>
    <row r="540" spans="1:20" x14ac:dyDescent="0.3">
      <c r="A540">
        <v>539</v>
      </c>
      <c r="B540" s="1">
        <v>44927</v>
      </c>
      <c r="C540">
        <v>2023</v>
      </c>
      <c r="D540">
        <v>1</v>
      </c>
      <c r="E540" t="s">
        <v>20</v>
      </c>
      <c r="F540">
        <v>1</v>
      </c>
      <c r="G540" t="s">
        <v>21</v>
      </c>
      <c r="H540" s="2">
        <v>46203.901284722226</v>
      </c>
      <c r="I540">
        <v>19</v>
      </c>
      <c r="J540" t="s">
        <v>123</v>
      </c>
      <c r="K540" s="8">
        <v>1</v>
      </c>
      <c r="L540">
        <v>3</v>
      </c>
      <c r="M540" t="s">
        <v>114</v>
      </c>
      <c r="N540">
        <v>60</v>
      </c>
      <c r="O540" t="s">
        <v>35</v>
      </c>
      <c r="P540" t="s">
        <v>36</v>
      </c>
      <c r="Q540" t="s">
        <v>90</v>
      </c>
      <c r="R540" s="7">
        <v>3.75</v>
      </c>
      <c r="S540" s="7">
        <v>3.75</v>
      </c>
      <c r="T540" t="s">
        <v>29</v>
      </c>
    </row>
    <row r="541" spans="1:20" x14ac:dyDescent="0.3">
      <c r="A541">
        <v>540</v>
      </c>
      <c r="B541" s="1">
        <v>44927</v>
      </c>
      <c r="C541">
        <v>2023</v>
      </c>
      <c r="D541">
        <v>1</v>
      </c>
      <c r="E541" t="s">
        <v>20</v>
      </c>
      <c r="F541">
        <v>1</v>
      </c>
      <c r="G541" t="s">
        <v>21</v>
      </c>
      <c r="H541" s="2">
        <v>46203.901921296296</v>
      </c>
      <c r="I541">
        <v>19</v>
      </c>
      <c r="J541" t="s">
        <v>123</v>
      </c>
      <c r="K541" s="8">
        <v>2</v>
      </c>
      <c r="L541">
        <v>3</v>
      </c>
      <c r="M541" t="s">
        <v>114</v>
      </c>
      <c r="N541">
        <v>55</v>
      </c>
      <c r="O541" t="s">
        <v>30</v>
      </c>
      <c r="P541" t="s">
        <v>31</v>
      </c>
      <c r="Q541" t="s">
        <v>88</v>
      </c>
      <c r="R541" s="7">
        <v>4</v>
      </c>
      <c r="S541" s="7">
        <v>8</v>
      </c>
      <c r="T541" t="s">
        <v>29</v>
      </c>
    </row>
    <row r="542" spans="1:20" x14ac:dyDescent="0.3">
      <c r="A542">
        <v>541</v>
      </c>
      <c r="B542" s="1">
        <v>44927</v>
      </c>
      <c r="C542">
        <v>2023</v>
      </c>
      <c r="D542">
        <v>1</v>
      </c>
      <c r="E542" t="s">
        <v>20</v>
      </c>
      <c r="F542">
        <v>1</v>
      </c>
      <c r="G542" t="s">
        <v>21</v>
      </c>
      <c r="H542" s="2">
        <v>46203.902083333334</v>
      </c>
      <c r="I542">
        <v>19</v>
      </c>
      <c r="J542" t="s">
        <v>123</v>
      </c>
      <c r="K542" s="8">
        <v>2</v>
      </c>
      <c r="L542">
        <v>3</v>
      </c>
      <c r="M542" t="s">
        <v>114</v>
      </c>
      <c r="N542">
        <v>47</v>
      </c>
      <c r="O542" t="s">
        <v>30</v>
      </c>
      <c r="P542" t="s">
        <v>60</v>
      </c>
      <c r="Q542" t="s">
        <v>61</v>
      </c>
      <c r="R542" s="7">
        <v>3</v>
      </c>
      <c r="S542" s="7">
        <v>6</v>
      </c>
      <c r="T542" t="s">
        <v>29</v>
      </c>
    </row>
    <row r="543" spans="1:20" x14ac:dyDescent="0.3">
      <c r="A543">
        <v>542</v>
      </c>
      <c r="B543" s="1">
        <v>44927</v>
      </c>
      <c r="C543">
        <v>2023</v>
      </c>
      <c r="D543">
        <v>1</v>
      </c>
      <c r="E543" t="s">
        <v>20</v>
      </c>
      <c r="F543">
        <v>1</v>
      </c>
      <c r="G543" t="s">
        <v>21</v>
      </c>
      <c r="H543" s="2">
        <v>46203.902453703704</v>
      </c>
      <c r="I543">
        <v>19</v>
      </c>
      <c r="J543" t="s">
        <v>123</v>
      </c>
      <c r="K543" s="8">
        <v>1</v>
      </c>
      <c r="L543">
        <v>3</v>
      </c>
      <c r="M543" t="s">
        <v>114</v>
      </c>
      <c r="N543">
        <v>37</v>
      </c>
      <c r="O543" t="s">
        <v>24</v>
      </c>
      <c r="P543" t="s">
        <v>48</v>
      </c>
      <c r="Q543" t="s">
        <v>107</v>
      </c>
      <c r="R543" s="7">
        <v>3</v>
      </c>
      <c r="S543" s="7">
        <v>3</v>
      </c>
      <c r="T543" t="s">
        <v>29</v>
      </c>
    </row>
    <row r="544" spans="1:20" x14ac:dyDescent="0.3">
      <c r="A544">
        <v>543</v>
      </c>
      <c r="B544" s="1">
        <v>44927</v>
      </c>
      <c r="C544">
        <v>2023</v>
      </c>
      <c r="D544">
        <v>1</v>
      </c>
      <c r="E544" t="s">
        <v>20</v>
      </c>
      <c r="F544">
        <v>1</v>
      </c>
      <c r="G544" t="s">
        <v>21</v>
      </c>
      <c r="H544" s="2">
        <v>46203.90519675926</v>
      </c>
      <c r="I544">
        <v>19</v>
      </c>
      <c r="J544" t="s">
        <v>123</v>
      </c>
      <c r="K544" s="8">
        <v>1</v>
      </c>
      <c r="L544">
        <v>3</v>
      </c>
      <c r="M544" t="s">
        <v>114</v>
      </c>
      <c r="N544">
        <v>54</v>
      </c>
      <c r="O544" t="s">
        <v>30</v>
      </c>
      <c r="P544" t="s">
        <v>31</v>
      </c>
      <c r="Q544" t="s">
        <v>87</v>
      </c>
      <c r="R544" s="7">
        <v>2.5</v>
      </c>
      <c r="S544" s="7">
        <v>2.5</v>
      </c>
      <c r="T544" t="s">
        <v>29</v>
      </c>
    </row>
    <row r="545" spans="1:20" x14ac:dyDescent="0.3">
      <c r="A545">
        <v>544</v>
      </c>
      <c r="B545" s="1">
        <v>44927</v>
      </c>
      <c r="C545">
        <v>2023</v>
      </c>
      <c r="D545">
        <v>1</v>
      </c>
      <c r="E545" t="s">
        <v>20</v>
      </c>
      <c r="F545">
        <v>1</v>
      </c>
      <c r="G545" t="s">
        <v>21</v>
      </c>
      <c r="H545" s="2">
        <v>46203.906030092592</v>
      </c>
      <c r="I545">
        <v>19</v>
      </c>
      <c r="J545" t="s">
        <v>123</v>
      </c>
      <c r="K545" s="8">
        <v>1</v>
      </c>
      <c r="L545">
        <v>8</v>
      </c>
      <c r="M545" t="s">
        <v>64</v>
      </c>
      <c r="N545">
        <v>61</v>
      </c>
      <c r="O545" t="s">
        <v>35</v>
      </c>
      <c r="P545" t="s">
        <v>36</v>
      </c>
      <c r="Q545" t="s">
        <v>68</v>
      </c>
      <c r="R545" s="7">
        <v>4.75</v>
      </c>
      <c r="S545" s="7">
        <v>4.75</v>
      </c>
      <c r="T545" t="s">
        <v>29</v>
      </c>
    </row>
    <row r="546" spans="1:20" x14ac:dyDescent="0.3">
      <c r="A546">
        <v>545</v>
      </c>
      <c r="B546" s="1">
        <v>44927</v>
      </c>
      <c r="C546">
        <v>2023</v>
      </c>
      <c r="D546">
        <v>1</v>
      </c>
      <c r="E546" t="s">
        <v>20</v>
      </c>
      <c r="F546">
        <v>1</v>
      </c>
      <c r="G546" t="s">
        <v>21</v>
      </c>
      <c r="H546" s="2">
        <v>46203.906574074077</v>
      </c>
      <c r="I546">
        <v>19</v>
      </c>
      <c r="J546" t="s">
        <v>123</v>
      </c>
      <c r="K546" s="8">
        <v>1</v>
      </c>
      <c r="L546">
        <v>8</v>
      </c>
      <c r="M546" t="s">
        <v>64</v>
      </c>
      <c r="N546">
        <v>26</v>
      </c>
      <c r="O546" t="s">
        <v>24</v>
      </c>
      <c r="P546" t="s">
        <v>82</v>
      </c>
      <c r="Q546" t="s">
        <v>83</v>
      </c>
      <c r="R546" s="7">
        <v>3</v>
      </c>
      <c r="S546" s="7">
        <v>3</v>
      </c>
      <c r="T546" t="s">
        <v>29</v>
      </c>
    </row>
    <row r="547" spans="1:20" x14ac:dyDescent="0.3">
      <c r="A547">
        <v>546</v>
      </c>
      <c r="B547" s="1">
        <v>44927</v>
      </c>
      <c r="C547">
        <v>2023</v>
      </c>
      <c r="D547">
        <v>1</v>
      </c>
      <c r="E547" t="s">
        <v>20</v>
      </c>
      <c r="F547">
        <v>1</v>
      </c>
      <c r="G547" t="s">
        <v>21</v>
      </c>
      <c r="H547" s="2">
        <v>46203.909456018519</v>
      </c>
      <c r="I547">
        <v>19</v>
      </c>
      <c r="J547" t="s">
        <v>123</v>
      </c>
      <c r="K547" s="8">
        <v>1</v>
      </c>
      <c r="L547">
        <v>3</v>
      </c>
      <c r="M547" t="s">
        <v>114</v>
      </c>
      <c r="N547">
        <v>36</v>
      </c>
      <c r="O547" t="s">
        <v>24</v>
      </c>
      <c r="P547" t="s">
        <v>99</v>
      </c>
      <c r="Q547" t="s">
        <v>102</v>
      </c>
      <c r="R547" s="7">
        <v>3.75</v>
      </c>
      <c r="S547" s="7">
        <v>3.75</v>
      </c>
      <c r="T547" t="s">
        <v>29</v>
      </c>
    </row>
    <row r="548" spans="1:20" x14ac:dyDescent="0.3">
      <c r="A548">
        <v>547</v>
      </c>
      <c r="B548" s="1">
        <v>44927</v>
      </c>
      <c r="C548">
        <v>2023</v>
      </c>
      <c r="D548">
        <v>1</v>
      </c>
      <c r="E548" t="s">
        <v>20</v>
      </c>
      <c r="F548">
        <v>1</v>
      </c>
      <c r="G548" t="s">
        <v>21</v>
      </c>
      <c r="H548" s="2">
        <v>46203.91165509259</v>
      </c>
      <c r="I548">
        <v>19</v>
      </c>
      <c r="J548" t="s">
        <v>123</v>
      </c>
      <c r="K548" s="8">
        <v>1</v>
      </c>
      <c r="L548">
        <v>8</v>
      </c>
      <c r="M548" t="s">
        <v>64</v>
      </c>
      <c r="N548">
        <v>32</v>
      </c>
      <c r="O548" t="s">
        <v>24</v>
      </c>
      <c r="P548" t="s">
        <v>25</v>
      </c>
      <c r="Q548" t="s">
        <v>26</v>
      </c>
      <c r="R548" s="7">
        <v>3</v>
      </c>
      <c r="S548" s="7">
        <v>3</v>
      </c>
      <c r="T548" t="s">
        <v>29</v>
      </c>
    </row>
    <row r="549" spans="1:20" x14ac:dyDescent="0.3">
      <c r="A549">
        <v>548</v>
      </c>
      <c r="B549" s="1">
        <v>44927</v>
      </c>
      <c r="C549">
        <v>2023</v>
      </c>
      <c r="D549">
        <v>1</v>
      </c>
      <c r="E549" t="s">
        <v>20</v>
      </c>
      <c r="F549">
        <v>1</v>
      </c>
      <c r="G549" t="s">
        <v>21</v>
      </c>
      <c r="H549" s="2">
        <v>46203.915231481478</v>
      </c>
      <c r="I549">
        <v>19</v>
      </c>
      <c r="J549" t="s">
        <v>123</v>
      </c>
      <c r="K549" s="8">
        <v>1</v>
      </c>
      <c r="L549">
        <v>3</v>
      </c>
      <c r="M549" t="s">
        <v>114</v>
      </c>
      <c r="N549">
        <v>35</v>
      </c>
      <c r="O549" t="s">
        <v>24</v>
      </c>
      <c r="P549" t="s">
        <v>99</v>
      </c>
      <c r="Q549" t="s">
        <v>110</v>
      </c>
      <c r="R549" s="7">
        <v>3.1</v>
      </c>
      <c r="S549" s="7">
        <v>3.1</v>
      </c>
      <c r="T549" t="s">
        <v>29</v>
      </c>
    </row>
    <row r="550" spans="1:20" x14ac:dyDescent="0.3">
      <c r="A550">
        <v>549</v>
      </c>
      <c r="B550" s="1">
        <v>44927</v>
      </c>
      <c r="C550">
        <v>2023</v>
      </c>
      <c r="D550">
        <v>1</v>
      </c>
      <c r="E550" t="s">
        <v>20</v>
      </c>
      <c r="F550">
        <v>1</v>
      </c>
      <c r="G550" t="s">
        <v>21</v>
      </c>
      <c r="H550" s="2">
        <v>46203.915613425925</v>
      </c>
      <c r="I550">
        <v>19</v>
      </c>
      <c r="J550" t="s">
        <v>123</v>
      </c>
      <c r="K550" s="8">
        <v>1</v>
      </c>
      <c r="L550">
        <v>3</v>
      </c>
      <c r="M550" t="s">
        <v>114</v>
      </c>
      <c r="N550">
        <v>55</v>
      </c>
      <c r="O550" t="s">
        <v>30</v>
      </c>
      <c r="P550" t="s">
        <v>31</v>
      </c>
      <c r="Q550" t="s">
        <v>88</v>
      </c>
      <c r="R550" s="7">
        <v>4</v>
      </c>
      <c r="S550" s="7">
        <v>4</v>
      </c>
      <c r="T550" t="s">
        <v>29</v>
      </c>
    </row>
    <row r="551" spans="1:20" x14ac:dyDescent="0.3">
      <c r="A551">
        <v>550</v>
      </c>
      <c r="B551" s="1">
        <v>44927</v>
      </c>
      <c r="C551">
        <v>2023</v>
      </c>
      <c r="D551">
        <v>1</v>
      </c>
      <c r="E551" t="s">
        <v>20</v>
      </c>
      <c r="F551">
        <v>1</v>
      </c>
      <c r="G551" t="s">
        <v>21</v>
      </c>
      <c r="H551" s="2">
        <v>46203.915879629632</v>
      </c>
      <c r="I551">
        <v>19</v>
      </c>
      <c r="J551" t="s">
        <v>123</v>
      </c>
      <c r="K551" s="8">
        <v>1</v>
      </c>
      <c r="L551">
        <v>3</v>
      </c>
      <c r="M551" t="s">
        <v>114</v>
      </c>
      <c r="N551">
        <v>39</v>
      </c>
      <c r="O551" t="s">
        <v>24</v>
      </c>
      <c r="P551" t="s">
        <v>48</v>
      </c>
      <c r="Q551" t="s">
        <v>49</v>
      </c>
      <c r="R551" s="7">
        <v>4.25</v>
      </c>
      <c r="S551" s="7">
        <v>4.25</v>
      </c>
      <c r="T551" t="s">
        <v>29</v>
      </c>
    </row>
    <row r="552" spans="1:20" x14ac:dyDescent="0.3">
      <c r="A552">
        <v>551</v>
      </c>
      <c r="B552" s="1">
        <v>44928</v>
      </c>
      <c r="C552">
        <v>2023</v>
      </c>
      <c r="D552">
        <v>1</v>
      </c>
      <c r="E552" t="s">
        <v>20</v>
      </c>
      <c r="F552">
        <v>2</v>
      </c>
      <c r="G552" t="s">
        <v>124</v>
      </c>
      <c r="H552" s="2">
        <v>46203.376377314817</v>
      </c>
      <c r="I552">
        <v>7</v>
      </c>
      <c r="J552" t="s">
        <v>22</v>
      </c>
      <c r="K552" s="8">
        <v>1</v>
      </c>
      <c r="L552">
        <v>5</v>
      </c>
      <c r="M552" t="s">
        <v>23</v>
      </c>
      <c r="N552">
        <v>87</v>
      </c>
      <c r="O552" t="s">
        <v>24</v>
      </c>
      <c r="P552" t="s">
        <v>48</v>
      </c>
      <c r="Q552" t="s">
        <v>59</v>
      </c>
      <c r="R552" s="7">
        <v>3</v>
      </c>
      <c r="S552" s="7">
        <v>3</v>
      </c>
      <c r="T552" t="s">
        <v>125</v>
      </c>
    </row>
    <row r="553" spans="1:20" x14ac:dyDescent="0.3">
      <c r="A553">
        <v>552</v>
      </c>
      <c r="B553" s="1">
        <v>44928</v>
      </c>
      <c r="C553">
        <v>2023</v>
      </c>
      <c r="D553">
        <v>1</v>
      </c>
      <c r="E553" t="s">
        <v>20</v>
      </c>
      <c r="F553">
        <v>2</v>
      </c>
      <c r="G553" t="s">
        <v>124</v>
      </c>
      <c r="H553" s="2">
        <v>46203.383391203701</v>
      </c>
      <c r="I553">
        <v>7</v>
      </c>
      <c r="J553" t="s">
        <v>22</v>
      </c>
      <c r="K553" s="8">
        <v>1</v>
      </c>
      <c r="L553">
        <v>5</v>
      </c>
      <c r="M553" t="s">
        <v>23</v>
      </c>
      <c r="N553">
        <v>51</v>
      </c>
      <c r="O553" t="s">
        <v>30</v>
      </c>
      <c r="P553" t="s">
        <v>57</v>
      </c>
      <c r="Q553" t="s">
        <v>58</v>
      </c>
      <c r="R553" s="7">
        <v>3</v>
      </c>
      <c r="S553" s="7">
        <v>3</v>
      </c>
      <c r="T553" t="s">
        <v>125</v>
      </c>
    </row>
    <row r="554" spans="1:20" x14ac:dyDescent="0.3">
      <c r="A554">
        <v>553</v>
      </c>
      <c r="B554" s="1">
        <v>44928</v>
      </c>
      <c r="C554">
        <v>2023</v>
      </c>
      <c r="D554">
        <v>1</v>
      </c>
      <c r="E554" t="s">
        <v>20</v>
      </c>
      <c r="F554">
        <v>2</v>
      </c>
      <c r="G554" t="s">
        <v>124</v>
      </c>
      <c r="H554" s="2">
        <v>46203.386516203704</v>
      </c>
      <c r="I554">
        <v>7</v>
      </c>
      <c r="J554" t="s">
        <v>22</v>
      </c>
      <c r="K554" s="8">
        <v>2</v>
      </c>
      <c r="L554">
        <v>5</v>
      </c>
      <c r="M554" t="s">
        <v>23</v>
      </c>
      <c r="N554">
        <v>28</v>
      </c>
      <c r="O554" t="s">
        <v>24</v>
      </c>
      <c r="P554" t="s">
        <v>25</v>
      </c>
      <c r="Q554" t="s">
        <v>46</v>
      </c>
      <c r="R554" s="7">
        <v>2</v>
      </c>
      <c r="S554" s="7">
        <v>4</v>
      </c>
      <c r="T554" t="s">
        <v>125</v>
      </c>
    </row>
    <row r="555" spans="1:20" x14ac:dyDescent="0.3">
      <c r="A555">
        <v>554</v>
      </c>
      <c r="B555" s="1">
        <v>44928</v>
      </c>
      <c r="C555">
        <v>2023</v>
      </c>
      <c r="D555">
        <v>1</v>
      </c>
      <c r="E555" t="s">
        <v>20</v>
      </c>
      <c r="F555">
        <v>2</v>
      </c>
      <c r="G555" t="s">
        <v>124</v>
      </c>
      <c r="H555" s="2">
        <v>46203.386643518519</v>
      </c>
      <c r="I555">
        <v>7</v>
      </c>
      <c r="J555" t="s">
        <v>22</v>
      </c>
      <c r="K555" s="8">
        <v>1</v>
      </c>
      <c r="L555">
        <v>5</v>
      </c>
      <c r="M555" t="s">
        <v>23</v>
      </c>
      <c r="N555">
        <v>57</v>
      </c>
      <c r="O555" t="s">
        <v>30</v>
      </c>
      <c r="P555" t="s">
        <v>31</v>
      </c>
      <c r="Q555" t="s">
        <v>32</v>
      </c>
      <c r="R555" s="7">
        <v>3.1</v>
      </c>
      <c r="S555" s="7">
        <v>3.1</v>
      </c>
      <c r="T555" t="s">
        <v>125</v>
      </c>
    </row>
    <row r="556" spans="1:20" x14ac:dyDescent="0.3">
      <c r="A556">
        <v>555</v>
      </c>
      <c r="B556" s="1">
        <v>44928</v>
      </c>
      <c r="C556">
        <v>2023</v>
      </c>
      <c r="D556">
        <v>1</v>
      </c>
      <c r="E556" t="s">
        <v>20</v>
      </c>
      <c r="F556">
        <v>2</v>
      </c>
      <c r="G556" t="s">
        <v>124</v>
      </c>
      <c r="H556" s="2">
        <v>46203.386643518519</v>
      </c>
      <c r="I556">
        <v>7</v>
      </c>
      <c r="J556" t="s">
        <v>22</v>
      </c>
      <c r="K556" s="8">
        <v>1</v>
      </c>
      <c r="L556">
        <v>5</v>
      </c>
      <c r="M556" t="s">
        <v>23</v>
      </c>
      <c r="N556">
        <v>70</v>
      </c>
      <c r="O556" t="s">
        <v>43</v>
      </c>
      <c r="P556" t="s">
        <v>44</v>
      </c>
      <c r="Q556" t="s">
        <v>111</v>
      </c>
      <c r="R556" s="7">
        <v>3.25</v>
      </c>
      <c r="S556" s="7">
        <v>3.25</v>
      </c>
      <c r="T556" t="s">
        <v>125</v>
      </c>
    </row>
    <row r="557" spans="1:20" x14ac:dyDescent="0.3">
      <c r="A557">
        <v>556</v>
      </c>
      <c r="B557" s="1">
        <v>44928</v>
      </c>
      <c r="C557">
        <v>2023</v>
      </c>
      <c r="D557">
        <v>1</v>
      </c>
      <c r="E557" t="s">
        <v>20</v>
      </c>
      <c r="F557">
        <v>2</v>
      </c>
      <c r="G557" t="s">
        <v>124</v>
      </c>
      <c r="H557" s="2">
        <v>46203.390370370369</v>
      </c>
      <c r="I557">
        <v>7</v>
      </c>
      <c r="J557" t="s">
        <v>22</v>
      </c>
      <c r="K557" s="8">
        <v>2</v>
      </c>
      <c r="L557">
        <v>5</v>
      </c>
      <c r="M557" t="s">
        <v>23</v>
      </c>
      <c r="N557">
        <v>61</v>
      </c>
      <c r="O557" t="s">
        <v>35</v>
      </c>
      <c r="P557" t="s">
        <v>36</v>
      </c>
      <c r="Q557" t="s">
        <v>68</v>
      </c>
      <c r="R557" s="7">
        <v>4.75</v>
      </c>
      <c r="S557" s="7">
        <v>9.5</v>
      </c>
      <c r="T557" t="s">
        <v>125</v>
      </c>
    </row>
    <row r="558" spans="1:20" x14ac:dyDescent="0.3">
      <c r="A558">
        <v>557</v>
      </c>
      <c r="B558" s="1">
        <v>44928</v>
      </c>
      <c r="C558">
        <v>2023</v>
      </c>
      <c r="D558">
        <v>1</v>
      </c>
      <c r="E558" t="s">
        <v>20</v>
      </c>
      <c r="F558">
        <v>2</v>
      </c>
      <c r="G558" t="s">
        <v>124</v>
      </c>
      <c r="H558" s="2">
        <v>46203.390798611108</v>
      </c>
      <c r="I558">
        <v>7</v>
      </c>
      <c r="J558" t="s">
        <v>22</v>
      </c>
      <c r="K558" s="8">
        <v>1</v>
      </c>
      <c r="L558">
        <v>5</v>
      </c>
      <c r="M558" t="s">
        <v>23</v>
      </c>
      <c r="N558">
        <v>42</v>
      </c>
      <c r="O558" t="s">
        <v>30</v>
      </c>
      <c r="P558" t="s">
        <v>65</v>
      </c>
      <c r="Q558" t="s">
        <v>66</v>
      </c>
      <c r="R558" s="7">
        <v>2.5</v>
      </c>
      <c r="S558" s="7">
        <v>2.5</v>
      </c>
      <c r="T558" t="s">
        <v>125</v>
      </c>
    </row>
    <row r="559" spans="1:20" x14ac:dyDescent="0.3">
      <c r="A559">
        <v>558</v>
      </c>
      <c r="B559" s="1">
        <v>44928</v>
      </c>
      <c r="C559">
        <v>2023</v>
      </c>
      <c r="D559">
        <v>1</v>
      </c>
      <c r="E559" t="s">
        <v>20</v>
      </c>
      <c r="F559">
        <v>2</v>
      </c>
      <c r="G559" t="s">
        <v>124</v>
      </c>
      <c r="H559" s="2">
        <v>46203.393043981479</v>
      </c>
      <c r="I559">
        <v>7</v>
      </c>
      <c r="J559" t="s">
        <v>22</v>
      </c>
      <c r="K559" s="8">
        <v>1</v>
      </c>
      <c r="L559">
        <v>5</v>
      </c>
      <c r="M559" t="s">
        <v>23</v>
      </c>
      <c r="N559">
        <v>24</v>
      </c>
      <c r="O559" t="s">
        <v>24</v>
      </c>
      <c r="P559" t="s">
        <v>40</v>
      </c>
      <c r="Q559" t="s">
        <v>89</v>
      </c>
      <c r="R559" s="7">
        <v>3</v>
      </c>
      <c r="S559" s="7">
        <v>3</v>
      </c>
      <c r="T559" t="s">
        <v>125</v>
      </c>
    </row>
    <row r="560" spans="1:20" x14ac:dyDescent="0.3">
      <c r="A560">
        <v>559</v>
      </c>
      <c r="B560" s="1">
        <v>44928</v>
      </c>
      <c r="C560">
        <v>2023</v>
      </c>
      <c r="D560">
        <v>1</v>
      </c>
      <c r="E560" t="s">
        <v>20</v>
      </c>
      <c r="F560">
        <v>2</v>
      </c>
      <c r="G560" t="s">
        <v>124</v>
      </c>
      <c r="H560" s="2">
        <v>46203.399421296293</v>
      </c>
      <c r="I560">
        <v>7</v>
      </c>
      <c r="J560" t="s">
        <v>22</v>
      </c>
      <c r="K560" s="8">
        <v>1</v>
      </c>
      <c r="L560">
        <v>5</v>
      </c>
      <c r="M560" t="s">
        <v>23</v>
      </c>
      <c r="N560">
        <v>53</v>
      </c>
      <c r="O560" t="s">
        <v>30</v>
      </c>
      <c r="P560" t="s">
        <v>31</v>
      </c>
      <c r="Q560" t="s">
        <v>104</v>
      </c>
      <c r="R560" s="7">
        <v>3</v>
      </c>
      <c r="S560" s="7">
        <v>3</v>
      </c>
      <c r="T560" t="s">
        <v>125</v>
      </c>
    </row>
    <row r="561" spans="1:20" x14ac:dyDescent="0.3">
      <c r="A561">
        <v>560</v>
      </c>
      <c r="B561" s="1">
        <v>44928</v>
      </c>
      <c r="C561">
        <v>2023</v>
      </c>
      <c r="D561">
        <v>1</v>
      </c>
      <c r="E561" t="s">
        <v>20</v>
      </c>
      <c r="F561">
        <v>2</v>
      </c>
      <c r="G561" t="s">
        <v>124</v>
      </c>
      <c r="H561" s="2">
        <v>46203.408634259256</v>
      </c>
      <c r="I561">
        <v>7</v>
      </c>
      <c r="J561" t="s">
        <v>22</v>
      </c>
      <c r="K561" s="8">
        <v>1</v>
      </c>
      <c r="L561">
        <v>5</v>
      </c>
      <c r="M561" t="s">
        <v>23</v>
      </c>
      <c r="N561">
        <v>41</v>
      </c>
      <c r="O561" t="s">
        <v>24</v>
      </c>
      <c r="P561" t="s">
        <v>48</v>
      </c>
      <c r="Q561" t="s">
        <v>105</v>
      </c>
      <c r="R561" s="7">
        <v>4.25</v>
      </c>
      <c r="S561" s="7">
        <v>4.25</v>
      </c>
      <c r="T561" t="s">
        <v>125</v>
      </c>
    </row>
    <row r="562" spans="1:20" x14ac:dyDescent="0.3">
      <c r="A562">
        <v>561</v>
      </c>
      <c r="B562" s="1">
        <v>44928</v>
      </c>
      <c r="C562">
        <v>2023</v>
      </c>
      <c r="D562">
        <v>1</v>
      </c>
      <c r="E562" t="s">
        <v>20</v>
      </c>
      <c r="F562">
        <v>2</v>
      </c>
      <c r="G562" t="s">
        <v>124</v>
      </c>
      <c r="H562" s="2">
        <v>46203.408634259256</v>
      </c>
      <c r="I562">
        <v>7</v>
      </c>
      <c r="J562" t="s">
        <v>22</v>
      </c>
      <c r="K562" s="8">
        <v>1</v>
      </c>
      <c r="L562">
        <v>5</v>
      </c>
      <c r="M562" t="s">
        <v>23</v>
      </c>
      <c r="N562">
        <v>75</v>
      </c>
      <c r="O562" t="s">
        <v>43</v>
      </c>
      <c r="P562" t="s">
        <v>78</v>
      </c>
      <c r="Q562" t="s">
        <v>115</v>
      </c>
      <c r="R562" s="7">
        <v>3.5</v>
      </c>
      <c r="S562" s="7">
        <v>3.5</v>
      </c>
      <c r="T562" t="s">
        <v>125</v>
      </c>
    </row>
    <row r="563" spans="1:20" x14ac:dyDescent="0.3">
      <c r="A563">
        <v>562</v>
      </c>
      <c r="B563" s="1">
        <v>44928</v>
      </c>
      <c r="C563">
        <v>2023</v>
      </c>
      <c r="D563">
        <v>1</v>
      </c>
      <c r="E563" t="s">
        <v>20</v>
      </c>
      <c r="F563">
        <v>2</v>
      </c>
      <c r="G563" t="s">
        <v>124</v>
      </c>
      <c r="H563" s="2">
        <v>46203.412361111114</v>
      </c>
      <c r="I563">
        <v>7</v>
      </c>
      <c r="J563" t="s">
        <v>22</v>
      </c>
      <c r="K563" s="8">
        <v>2</v>
      </c>
      <c r="L563">
        <v>5</v>
      </c>
      <c r="M563" t="s">
        <v>23</v>
      </c>
      <c r="N563">
        <v>27</v>
      </c>
      <c r="O563" t="s">
        <v>24</v>
      </c>
      <c r="P563" t="s">
        <v>82</v>
      </c>
      <c r="Q563" t="s">
        <v>84</v>
      </c>
      <c r="R563" s="7">
        <v>3.5</v>
      </c>
      <c r="S563" s="7">
        <v>7</v>
      </c>
      <c r="T563" t="s">
        <v>125</v>
      </c>
    </row>
    <row r="564" spans="1:20" x14ac:dyDescent="0.3">
      <c r="A564">
        <v>563</v>
      </c>
      <c r="B564" s="1">
        <v>44928</v>
      </c>
      <c r="C564">
        <v>2023</v>
      </c>
      <c r="D564">
        <v>1</v>
      </c>
      <c r="E564" t="s">
        <v>20</v>
      </c>
      <c r="F564">
        <v>2</v>
      </c>
      <c r="G564" t="s">
        <v>124</v>
      </c>
      <c r="H564" s="2">
        <v>46203.416516203702</v>
      </c>
      <c r="I564">
        <v>7</v>
      </c>
      <c r="J564" t="s">
        <v>22</v>
      </c>
      <c r="K564" s="8">
        <v>1</v>
      </c>
      <c r="L564">
        <v>5</v>
      </c>
      <c r="M564" t="s">
        <v>23</v>
      </c>
      <c r="N564">
        <v>48</v>
      </c>
      <c r="O564" t="s">
        <v>30</v>
      </c>
      <c r="P564" t="s">
        <v>57</v>
      </c>
      <c r="Q564" t="s">
        <v>93</v>
      </c>
      <c r="R564" s="7">
        <v>2.5</v>
      </c>
      <c r="S564" s="7">
        <v>2.5</v>
      </c>
      <c r="T564" t="s">
        <v>125</v>
      </c>
    </row>
    <row r="565" spans="1:20" x14ac:dyDescent="0.3">
      <c r="A565">
        <v>564</v>
      </c>
      <c r="B565" s="1">
        <v>44928</v>
      </c>
      <c r="C565">
        <v>2023</v>
      </c>
      <c r="D565">
        <v>1</v>
      </c>
      <c r="E565" t="s">
        <v>20</v>
      </c>
      <c r="F565">
        <v>2</v>
      </c>
      <c r="G565" t="s">
        <v>124</v>
      </c>
      <c r="H565" s="2">
        <v>46203.416516203702</v>
      </c>
      <c r="I565">
        <v>7</v>
      </c>
      <c r="J565" t="s">
        <v>22</v>
      </c>
      <c r="K565" s="8">
        <v>1</v>
      </c>
      <c r="L565">
        <v>5</v>
      </c>
      <c r="M565" t="s">
        <v>23</v>
      </c>
      <c r="N565">
        <v>75</v>
      </c>
      <c r="O565" t="s">
        <v>43</v>
      </c>
      <c r="P565" t="s">
        <v>78</v>
      </c>
      <c r="Q565" t="s">
        <v>115</v>
      </c>
      <c r="R565" s="7">
        <v>3.5</v>
      </c>
      <c r="S565" s="7">
        <v>3.5</v>
      </c>
      <c r="T565" t="s">
        <v>125</v>
      </c>
    </row>
    <row r="566" spans="1:20" x14ac:dyDescent="0.3">
      <c r="A566">
        <v>565</v>
      </c>
      <c r="B566" s="1">
        <v>44928</v>
      </c>
      <c r="C566">
        <v>2023</v>
      </c>
      <c r="D566">
        <v>1</v>
      </c>
      <c r="E566" t="s">
        <v>20</v>
      </c>
      <c r="F566">
        <v>2</v>
      </c>
      <c r="G566" t="s">
        <v>124</v>
      </c>
      <c r="H566" s="2">
        <v>46203.419293981482</v>
      </c>
      <c r="I566">
        <v>8</v>
      </c>
      <c r="J566" t="s">
        <v>22</v>
      </c>
      <c r="K566" s="8">
        <v>2</v>
      </c>
      <c r="L566">
        <v>8</v>
      </c>
      <c r="M566" t="s">
        <v>64</v>
      </c>
      <c r="N566">
        <v>32</v>
      </c>
      <c r="O566" t="s">
        <v>24</v>
      </c>
      <c r="P566" t="s">
        <v>25</v>
      </c>
      <c r="Q566" t="s">
        <v>26</v>
      </c>
      <c r="R566" s="7">
        <v>3</v>
      </c>
      <c r="S566" s="7">
        <v>6</v>
      </c>
      <c r="T566" t="s">
        <v>125</v>
      </c>
    </row>
    <row r="567" spans="1:20" x14ac:dyDescent="0.3">
      <c r="A567">
        <v>566</v>
      </c>
      <c r="B567" s="1">
        <v>44928</v>
      </c>
      <c r="C567">
        <v>2023</v>
      </c>
      <c r="D567">
        <v>1</v>
      </c>
      <c r="E567" t="s">
        <v>20</v>
      </c>
      <c r="F567">
        <v>2</v>
      </c>
      <c r="G567" t="s">
        <v>124</v>
      </c>
      <c r="H567" s="2">
        <v>46203.41951388889</v>
      </c>
      <c r="I567">
        <v>8</v>
      </c>
      <c r="J567" t="s">
        <v>22</v>
      </c>
      <c r="K567" s="8">
        <v>2</v>
      </c>
      <c r="L567">
        <v>8</v>
      </c>
      <c r="M567" t="s">
        <v>64</v>
      </c>
      <c r="N567">
        <v>31</v>
      </c>
      <c r="O567" t="s">
        <v>24</v>
      </c>
      <c r="P567" t="s">
        <v>25</v>
      </c>
      <c r="Q567" t="s">
        <v>116</v>
      </c>
      <c r="R567" s="7">
        <v>2.2000000000000002</v>
      </c>
      <c r="S567" s="7">
        <v>4.4000000000000004</v>
      </c>
      <c r="T567" t="s">
        <v>125</v>
      </c>
    </row>
    <row r="568" spans="1:20" x14ac:dyDescent="0.3">
      <c r="A568">
        <v>567</v>
      </c>
      <c r="B568" s="1">
        <v>44928</v>
      </c>
      <c r="C568">
        <v>2023</v>
      </c>
      <c r="D568">
        <v>1</v>
      </c>
      <c r="E568" t="s">
        <v>20</v>
      </c>
      <c r="F568">
        <v>2</v>
      </c>
      <c r="G568" t="s">
        <v>124</v>
      </c>
      <c r="H568" s="2">
        <v>46203.420081018521</v>
      </c>
      <c r="I568">
        <v>8</v>
      </c>
      <c r="J568" t="s">
        <v>22</v>
      </c>
      <c r="K568" s="8">
        <v>1</v>
      </c>
      <c r="L568">
        <v>8</v>
      </c>
      <c r="M568" t="s">
        <v>64</v>
      </c>
      <c r="N568">
        <v>25</v>
      </c>
      <c r="O568" t="s">
        <v>24</v>
      </c>
      <c r="P568" t="s">
        <v>82</v>
      </c>
      <c r="Q568" t="s">
        <v>96</v>
      </c>
      <c r="R568" s="7">
        <v>2.2000000000000002</v>
      </c>
      <c r="S568" s="7">
        <v>2.2000000000000002</v>
      </c>
      <c r="T568" t="s">
        <v>125</v>
      </c>
    </row>
    <row r="569" spans="1:20" x14ac:dyDescent="0.3">
      <c r="A569">
        <v>568</v>
      </c>
      <c r="B569" s="1">
        <v>44928</v>
      </c>
      <c r="C569">
        <v>2023</v>
      </c>
      <c r="D569">
        <v>1</v>
      </c>
      <c r="E569" t="s">
        <v>20</v>
      </c>
      <c r="F569">
        <v>2</v>
      </c>
      <c r="G569" t="s">
        <v>124</v>
      </c>
      <c r="H569" s="2">
        <v>46203.420127314814</v>
      </c>
      <c r="I569">
        <v>8</v>
      </c>
      <c r="J569" t="s">
        <v>22</v>
      </c>
      <c r="K569" s="8">
        <v>1</v>
      </c>
      <c r="L569">
        <v>5</v>
      </c>
      <c r="M569" t="s">
        <v>23</v>
      </c>
      <c r="N569">
        <v>61</v>
      </c>
      <c r="O569" t="s">
        <v>35</v>
      </c>
      <c r="P569" t="s">
        <v>36</v>
      </c>
      <c r="Q569" t="s">
        <v>68</v>
      </c>
      <c r="R569" s="7">
        <v>4.75</v>
      </c>
      <c r="S569" s="7">
        <v>4.75</v>
      </c>
      <c r="T569" t="s">
        <v>125</v>
      </c>
    </row>
    <row r="570" spans="1:20" x14ac:dyDescent="0.3">
      <c r="A570">
        <v>569</v>
      </c>
      <c r="B570" s="1">
        <v>44928</v>
      </c>
      <c r="C570">
        <v>2023</v>
      </c>
      <c r="D570">
        <v>1</v>
      </c>
      <c r="E570" t="s">
        <v>20</v>
      </c>
      <c r="F570">
        <v>2</v>
      </c>
      <c r="G570" t="s">
        <v>124</v>
      </c>
      <c r="H570" s="2">
        <v>46203.423449074071</v>
      </c>
      <c r="I570">
        <v>8</v>
      </c>
      <c r="J570" t="s">
        <v>22</v>
      </c>
      <c r="K570" s="8">
        <v>1</v>
      </c>
      <c r="L570">
        <v>5</v>
      </c>
      <c r="M570" t="s">
        <v>23</v>
      </c>
      <c r="N570">
        <v>48</v>
      </c>
      <c r="O570" t="s">
        <v>30</v>
      </c>
      <c r="P570" t="s">
        <v>57</v>
      </c>
      <c r="Q570" t="s">
        <v>93</v>
      </c>
      <c r="R570" s="7">
        <v>2.5</v>
      </c>
      <c r="S570" s="7">
        <v>2.5</v>
      </c>
      <c r="T570" t="s">
        <v>125</v>
      </c>
    </row>
    <row r="571" spans="1:20" x14ac:dyDescent="0.3">
      <c r="A571">
        <v>570</v>
      </c>
      <c r="B571" s="1">
        <v>44928</v>
      </c>
      <c r="C571">
        <v>2023</v>
      </c>
      <c r="D571">
        <v>1</v>
      </c>
      <c r="E571" t="s">
        <v>20</v>
      </c>
      <c r="F571">
        <v>2</v>
      </c>
      <c r="G571" t="s">
        <v>124</v>
      </c>
      <c r="H571" s="2">
        <v>46203.423506944448</v>
      </c>
      <c r="I571">
        <v>8</v>
      </c>
      <c r="J571" t="s">
        <v>22</v>
      </c>
      <c r="K571" s="8">
        <v>1</v>
      </c>
      <c r="L571">
        <v>5</v>
      </c>
      <c r="M571" t="s">
        <v>23</v>
      </c>
      <c r="N571">
        <v>61</v>
      </c>
      <c r="O571" t="s">
        <v>35</v>
      </c>
      <c r="P571" t="s">
        <v>36</v>
      </c>
      <c r="Q571" t="s">
        <v>68</v>
      </c>
      <c r="R571" s="7">
        <v>4.75</v>
      </c>
      <c r="S571" s="7">
        <v>4.75</v>
      </c>
      <c r="T571" t="s">
        <v>125</v>
      </c>
    </row>
    <row r="572" spans="1:20" x14ac:dyDescent="0.3">
      <c r="A572">
        <v>571</v>
      </c>
      <c r="B572" s="1">
        <v>44928</v>
      </c>
      <c r="C572">
        <v>2023</v>
      </c>
      <c r="D572">
        <v>1</v>
      </c>
      <c r="E572" t="s">
        <v>20</v>
      </c>
      <c r="F572">
        <v>2</v>
      </c>
      <c r="G572" t="s">
        <v>124</v>
      </c>
      <c r="H572" s="2">
        <v>46203.424432870372</v>
      </c>
      <c r="I572">
        <v>8</v>
      </c>
      <c r="J572" t="s">
        <v>22</v>
      </c>
      <c r="K572" s="8">
        <v>2</v>
      </c>
      <c r="L572">
        <v>8</v>
      </c>
      <c r="M572" t="s">
        <v>64</v>
      </c>
      <c r="N572">
        <v>61</v>
      </c>
      <c r="O572" t="s">
        <v>35</v>
      </c>
      <c r="P572" t="s">
        <v>36</v>
      </c>
      <c r="Q572" t="s">
        <v>68</v>
      </c>
      <c r="R572" s="7">
        <v>4.75</v>
      </c>
      <c r="S572" s="7">
        <v>9.5</v>
      </c>
      <c r="T572" t="s">
        <v>125</v>
      </c>
    </row>
    <row r="573" spans="1:20" x14ac:dyDescent="0.3">
      <c r="A573">
        <v>572</v>
      </c>
      <c r="B573" s="1">
        <v>44928</v>
      </c>
      <c r="C573">
        <v>2023</v>
      </c>
      <c r="D573">
        <v>1</v>
      </c>
      <c r="E573" t="s">
        <v>20</v>
      </c>
      <c r="F573">
        <v>2</v>
      </c>
      <c r="G573" t="s">
        <v>124</v>
      </c>
      <c r="H573" s="2">
        <v>46203.424432870372</v>
      </c>
      <c r="I573">
        <v>8</v>
      </c>
      <c r="J573" t="s">
        <v>22</v>
      </c>
      <c r="K573" s="8">
        <v>1</v>
      </c>
      <c r="L573">
        <v>8</v>
      </c>
      <c r="M573" t="s">
        <v>64</v>
      </c>
      <c r="N573">
        <v>74</v>
      </c>
      <c r="O573" t="s">
        <v>43</v>
      </c>
      <c r="P573" t="s">
        <v>71</v>
      </c>
      <c r="Q573" t="s">
        <v>103</v>
      </c>
      <c r="R573" s="7">
        <v>3.5</v>
      </c>
      <c r="S573" s="7">
        <v>3.5</v>
      </c>
      <c r="T573" t="s">
        <v>125</v>
      </c>
    </row>
    <row r="574" spans="1:20" x14ac:dyDescent="0.3">
      <c r="A574">
        <v>573</v>
      </c>
      <c r="B574" s="1">
        <v>44928</v>
      </c>
      <c r="C574">
        <v>2023</v>
      </c>
      <c r="D574">
        <v>1</v>
      </c>
      <c r="E574" t="s">
        <v>20</v>
      </c>
      <c r="F574">
        <v>2</v>
      </c>
      <c r="G574" t="s">
        <v>124</v>
      </c>
      <c r="H574" s="2">
        <v>46203.42597222222</v>
      </c>
      <c r="I574">
        <v>8</v>
      </c>
      <c r="J574" t="s">
        <v>22</v>
      </c>
      <c r="K574" s="8">
        <v>1</v>
      </c>
      <c r="L574">
        <v>8</v>
      </c>
      <c r="M574" t="s">
        <v>64</v>
      </c>
      <c r="N574">
        <v>27</v>
      </c>
      <c r="O574" t="s">
        <v>24</v>
      </c>
      <c r="P574" t="s">
        <v>82</v>
      </c>
      <c r="Q574" t="s">
        <v>84</v>
      </c>
      <c r="R574" s="7">
        <v>3.5</v>
      </c>
      <c r="S574" s="7">
        <v>3.5</v>
      </c>
      <c r="T574" t="s">
        <v>125</v>
      </c>
    </row>
    <row r="575" spans="1:20" x14ac:dyDescent="0.3">
      <c r="A575">
        <v>574</v>
      </c>
      <c r="B575" s="1">
        <v>44928</v>
      </c>
      <c r="C575">
        <v>2023</v>
      </c>
      <c r="D575">
        <v>1</v>
      </c>
      <c r="E575" t="s">
        <v>20</v>
      </c>
      <c r="F575">
        <v>2</v>
      </c>
      <c r="G575" t="s">
        <v>124</v>
      </c>
      <c r="H575" s="2">
        <v>46203.426539351851</v>
      </c>
      <c r="I575">
        <v>8</v>
      </c>
      <c r="J575" t="s">
        <v>22</v>
      </c>
      <c r="K575" s="8">
        <v>1</v>
      </c>
      <c r="L575">
        <v>5</v>
      </c>
      <c r="M575" t="s">
        <v>23</v>
      </c>
      <c r="N575">
        <v>55</v>
      </c>
      <c r="O575" t="s">
        <v>30</v>
      </c>
      <c r="P575" t="s">
        <v>31</v>
      </c>
      <c r="Q575" t="s">
        <v>88</v>
      </c>
      <c r="R575" s="7">
        <v>4</v>
      </c>
      <c r="S575" s="7">
        <v>4</v>
      </c>
      <c r="T575" t="s">
        <v>125</v>
      </c>
    </row>
    <row r="576" spans="1:20" x14ac:dyDescent="0.3">
      <c r="A576">
        <v>575</v>
      </c>
      <c r="B576" s="1">
        <v>44928</v>
      </c>
      <c r="C576">
        <v>2023</v>
      </c>
      <c r="D576">
        <v>1</v>
      </c>
      <c r="E576" t="s">
        <v>20</v>
      </c>
      <c r="F576">
        <v>2</v>
      </c>
      <c r="G576" t="s">
        <v>124</v>
      </c>
      <c r="H576" s="2">
        <v>46203.427164351851</v>
      </c>
      <c r="I576">
        <v>8</v>
      </c>
      <c r="J576" t="s">
        <v>22</v>
      </c>
      <c r="K576" s="8">
        <v>1</v>
      </c>
      <c r="L576">
        <v>8</v>
      </c>
      <c r="M576" t="s">
        <v>64</v>
      </c>
      <c r="N576">
        <v>36</v>
      </c>
      <c r="O576" t="s">
        <v>24</v>
      </c>
      <c r="P576" t="s">
        <v>99</v>
      </c>
      <c r="Q576" t="s">
        <v>102</v>
      </c>
      <c r="R576" s="7">
        <v>3.75</v>
      </c>
      <c r="S576" s="7">
        <v>3.75</v>
      </c>
      <c r="T576" t="s">
        <v>125</v>
      </c>
    </row>
    <row r="577" spans="1:20" x14ac:dyDescent="0.3">
      <c r="A577">
        <v>576</v>
      </c>
      <c r="B577" s="1">
        <v>44928</v>
      </c>
      <c r="C577">
        <v>2023</v>
      </c>
      <c r="D577">
        <v>1</v>
      </c>
      <c r="E577" t="s">
        <v>20</v>
      </c>
      <c r="F577">
        <v>2</v>
      </c>
      <c r="G577" t="s">
        <v>124</v>
      </c>
      <c r="H577" s="2">
        <v>46203.427199074074</v>
      </c>
      <c r="I577">
        <v>8</v>
      </c>
      <c r="J577" t="s">
        <v>22</v>
      </c>
      <c r="K577" s="8">
        <v>2</v>
      </c>
      <c r="L577">
        <v>8</v>
      </c>
      <c r="M577" t="s">
        <v>64</v>
      </c>
      <c r="N577">
        <v>30</v>
      </c>
      <c r="O577" t="s">
        <v>24</v>
      </c>
      <c r="P577" t="s">
        <v>25</v>
      </c>
      <c r="Q577" t="s">
        <v>119</v>
      </c>
      <c r="R577" s="7">
        <v>3</v>
      </c>
      <c r="S577" s="7">
        <v>6</v>
      </c>
      <c r="T577" t="s">
        <v>125</v>
      </c>
    </row>
    <row r="578" spans="1:20" x14ac:dyDescent="0.3">
      <c r="A578">
        <v>577</v>
      </c>
      <c r="B578" s="1">
        <v>44928</v>
      </c>
      <c r="C578">
        <v>2023</v>
      </c>
      <c r="D578">
        <v>1</v>
      </c>
      <c r="E578" t="s">
        <v>20</v>
      </c>
      <c r="F578">
        <v>2</v>
      </c>
      <c r="G578" t="s">
        <v>124</v>
      </c>
      <c r="H578" s="2">
        <v>46203.428796296299</v>
      </c>
      <c r="I578">
        <v>8</v>
      </c>
      <c r="J578" t="s">
        <v>22</v>
      </c>
      <c r="K578" s="8">
        <v>1</v>
      </c>
      <c r="L578">
        <v>8</v>
      </c>
      <c r="M578" t="s">
        <v>64</v>
      </c>
      <c r="N578">
        <v>44</v>
      </c>
      <c r="O578" t="s">
        <v>30</v>
      </c>
      <c r="P578" t="s">
        <v>65</v>
      </c>
      <c r="Q578" t="s">
        <v>92</v>
      </c>
      <c r="R578" s="7">
        <v>2.5</v>
      </c>
      <c r="S578" s="7">
        <v>2.5</v>
      </c>
      <c r="T578" t="s">
        <v>125</v>
      </c>
    </row>
    <row r="579" spans="1:20" x14ac:dyDescent="0.3">
      <c r="A579">
        <v>578</v>
      </c>
      <c r="B579" s="1">
        <v>44928</v>
      </c>
      <c r="C579">
        <v>2023</v>
      </c>
      <c r="D579">
        <v>1</v>
      </c>
      <c r="E579" t="s">
        <v>20</v>
      </c>
      <c r="F579">
        <v>2</v>
      </c>
      <c r="G579" t="s">
        <v>124</v>
      </c>
      <c r="H579" s="2">
        <v>46203.430995370371</v>
      </c>
      <c r="I579">
        <v>8</v>
      </c>
      <c r="J579" t="s">
        <v>22</v>
      </c>
      <c r="K579" s="8">
        <v>2</v>
      </c>
      <c r="L579">
        <v>5</v>
      </c>
      <c r="M579" t="s">
        <v>23</v>
      </c>
      <c r="N579">
        <v>44</v>
      </c>
      <c r="O579" t="s">
        <v>30</v>
      </c>
      <c r="P579" t="s">
        <v>65</v>
      </c>
      <c r="Q579" t="s">
        <v>92</v>
      </c>
      <c r="R579" s="7">
        <v>2.5</v>
      </c>
      <c r="S579" s="7">
        <v>5</v>
      </c>
      <c r="T579" t="s">
        <v>125</v>
      </c>
    </row>
    <row r="580" spans="1:20" x14ac:dyDescent="0.3">
      <c r="A580">
        <v>579</v>
      </c>
      <c r="B580" s="1">
        <v>44928</v>
      </c>
      <c r="C580">
        <v>2023</v>
      </c>
      <c r="D580">
        <v>1</v>
      </c>
      <c r="E580" t="s">
        <v>20</v>
      </c>
      <c r="F580">
        <v>2</v>
      </c>
      <c r="G580" t="s">
        <v>124</v>
      </c>
      <c r="H580" s="2">
        <v>46203.431620370371</v>
      </c>
      <c r="I580">
        <v>8</v>
      </c>
      <c r="J580" t="s">
        <v>22</v>
      </c>
      <c r="K580" s="8">
        <v>2</v>
      </c>
      <c r="L580">
        <v>8</v>
      </c>
      <c r="M580" t="s">
        <v>64</v>
      </c>
      <c r="N580">
        <v>38</v>
      </c>
      <c r="O580" t="s">
        <v>24</v>
      </c>
      <c r="P580" t="s">
        <v>48</v>
      </c>
      <c r="Q580" t="s">
        <v>81</v>
      </c>
      <c r="R580" s="7">
        <v>3.75</v>
      </c>
      <c r="S580" s="7">
        <v>7.5</v>
      </c>
      <c r="T580" t="s">
        <v>125</v>
      </c>
    </row>
    <row r="581" spans="1:20" x14ac:dyDescent="0.3">
      <c r="A581">
        <v>580</v>
      </c>
      <c r="B581" s="1">
        <v>44928</v>
      </c>
      <c r="C581">
        <v>2023</v>
      </c>
      <c r="D581">
        <v>1</v>
      </c>
      <c r="E581" t="s">
        <v>20</v>
      </c>
      <c r="F581">
        <v>2</v>
      </c>
      <c r="G581" t="s">
        <v>124</v>
      </c>
      <c r="H581" s="2">
        <v>46203.432812500003</v>
      </c>
      <c r="I581">
        <v>8</v>
      </c>
      <c r="J581" t="s">
        <v>22</v>
      </c>
      <c r="K581" s="8">
        <v>1</v>
      </c>
      <c r="L581">
        <v>8</v>
      </c>
      <c r="M581" t="s">
        <v>64</v>
      </c>
      <c r="N581">
        <v>26</v>
      </c>
      <c r="O581" t="s">
        <v>24</v>
      </c>
      <c r="P581" t="s">
        <v>82</v>
      </c>
      <c r="Q581" t="s">
        <v>83</v>
      </c>
      <c r="R581" s="7">
        <v>3</v>
      </c>
      <c r="S581" s="7">
        <v>3</v>
      </c>
      <c r="T581" t="s">
        <v>125</v>
      </c>
    </row>
    <row r="582" spans="1:20" x14ac:dyDescent="0.3">
      <c r="A582">
        <v>581</v>
      </c>
      <c r="B582" s="1">
        <v>44928</v>
      </c>
      <c r="C582">
        <v>2023</v>
      </c>
      <c r="D582">
        <v>1</v>
      </c>
      <c r="E582" t="s">
        <v>20</v>
      </c>
      <c r="F582">
        <v>2</v>
      </c>
      <c r="G582" t="s">
        <v>124</v>
      </c>
      <c r="H582" s="2">
        <v>46203.434282407405</v>
      </c>
      <c r="I582">
        <v>8</v>
      </c>
      <c r="J582" t="s">
        <v>22</v>
      </c>
      <c r="K582" s="8">
        <v>1</v>
      </c>
      <c r="L582">
        <v>5</v>
      </c>
      <c r="M582" t="s">
        <v>23</v>
      </c>
      <c r="N582">
        <v>25</v>
      </c>
      <c r="O582" t="s">
        <v>24</v>
      </c>
      <c r="P582" t="s">
        <v>82</v>
      </c>
      <c r="Q582" t="s">
        <v>96</v>
      </c>
      <c r="R582" s="7">
        <v>2.2000000000000002</v>
      </c>
      <c r="S582" s="7">
        <v>2.2000000000000002</v>
      </c>
      <c r="T582" t="s">
        <v>125</v>
      </c>
    </row>
    <row r="583" spans="1:20" x14ac:dyDescent="0.3">
      <c r="A583">
        <v>582</v>
      </c>
      <c r="B583" s="1">
        <v>44928</v>
      </c>
      <c r="C583">
        <v>2023</v>
      </c>
      <c r="D583">
        <v>1</v>
      </c>
      <c r="E583" t="s">
        <v>20</v>
      </c>
      <c r="F583">
        <v>2</v>
      </c>
      <c r="G583" t="s">
        <v>124</v>
      </c>
      <c r="H583" s="2">
        <v>46203.434872685182</v>
      </c>
      <c r="I583">
        <v>8</v>
      </c>
      <c r="J583" t="s">
        <v>22</v>
      </c>
      <c r="K583" s="8">
        <v>2</v>
      </c>
      <c r="L583">
        <v>5</v>
      </c>
      <c r="M583" t="s">
        <v>23</v>
      </c>
      <c r="N583">
        <v>28</v>
      </c>
      <c r="O583" t="s">
        <v>24</v>
      </c>
      <c r="P583" t="s">
        <v>25</v>
      </c>
      <c r="Q583" t="s">
        <v>46</v>
      </c>
      <c r="R583" s="7">
        <v>2</v>
      </c>
      <c r="S583" s="7">
        <v>4</v>
      </c>
      <c r="T583" t="s">
        <v>125</v>
      </c>
    </row>
    <row r="584" spans="1:20" x14ac:dyDescent="0.3">
      <c r="A584">
        <v>583</v>
      </c>
      <c r="B584" s="1">
        <v>44928</v>
      </c>
      <c r="C584">
        <v>2023</v>
      </c>
      <c r="D584">
        <v>1</v>
      </c>
      <c r="E584" t="s">
        <v>20</v>
      </c>
      <c r="F584">
        <v>2</v>
      </c>
      <c r="G584" t="s">
        <v>124</v>
      </c>
      <c r="H584" s="2">
        <v>46203.434965277775</v>
      </c>
      <c r="I584">
        <v>8</v>
      </c>
      <c r="J584" t="s">
        <v>22</v>
      </c>
      <c r="K584" s="8">
        <v>2</v>
      </c>
      <c r="L584">
        <v>8</v>
      </c>
      <c r="M584" t="s">
        <v>64</v>
      </c>
      <c r="N584">
        <v>31</v>
      </c>
      <c r="O584" t="s">
        <v>24</v>
      </c>
      <c r="P584" t="s">
        <v>25</v>
      </c>
      <c r="Q584" t="s">
        <v>116</v>
      </c>
      <c r="R584" s="7">
        <v>2.2000000000000002</v>
      </c>
      <c r="S584" s="7">
        <v>4.4000000000000004</v>
      </c>
      <c r="T584" t="s">
        <v>125</v>
      </c>
    </row>
    <row r="585" spans="1:20" x14ac:dyDescent="0.3">
      <c r="A585">
        <v>584</v>
      </c>
      <c r="B585" s="1">
        <v>44928</v>
      </c>
      <c r="C585">
        <v>2023</v>
      </c>
      <c r="D585">
        <v>1</v>
      </c>
      <c r="E585" t="s">
        <v>20</v>
      </c>
      <c r="F585">
        <v>2</v>
      </c>
      <c r="G585" t="s">
        <v>124</v>
      </c>
      <c r="H585" s="2">
        <v>46203.437615740739</v>
      </c>
      <c r="I585">
        <v>8</v>
      </c>
      <c r="J585" t="s">
        <v>22</v>
      </c>
      <c r="K585" s="8">
        <v>1</v>
      </c>
      <c r="L585">
        <v>5</v>
      </c>
      <c r="M585" t="s">
        <v>23</v>
      </c>
      <c r="N585">
        <v>29</v>
      </c>
      <c r="O585" t="s">
        <v>24</v>
      </c>
      <c r="P585" t="s">
        <v>25</v>
      </c>
      <c r="Q585" t="s">
        <v>85</v>
      </c>
      <c r="R585" s="7">
        <v>2.5</v>
      </c>
      <c r="S585" s="7">
        <v>2.5</v>
      </c>
      <c r="T585" t="s">
        <v>125</v>
      </c>
    </row>
    <row r="586" spans="1:20" x14ac:dyDescent="0.3">
      <c r="A586">
        <v>585</v>
      </c>
      <c r="B586" s="1">
        <v>44928</v>
      </c>
      <c r="C586">
        <v>2023</v>
      </c>
      <c r="D586">
        <v>1</v>
      </c>
      <c r="E586" t="s">
        <v>20</v>
      </c>
      <c r="F586">
        <v>2</v>
      </c>
      <c r="G586" t="s">
        <v>124</v>
      </c>
      <c r="H586" s="2">
        <v>46203.438599537039</v>
      </c>
      <c r="I586">
        <v>8</v>
      </c>
      <c r="J586" t="s">
        <v>22</v>
      </c>
      <c r="K586" s="8">
        <v>1</v>
      </c>
      <c r="L586">
        <v>8</v>
      </c>
      <c r="M586" t="s">
        <v>64</v>
      </c>
      <c r="N586">
        <v>35</v>
      </c>
      <c r="O586" t="s">
        <v>24</v>
      </c>
      <c r="P586" t="s">
        <v>99</v>
      </c>
      <c r="Q586" t="s">
        <v>110</v>
      </c>
      <c r="R586" s="7">
        <v>3.1</v>
      </c>
      <c r="S586" s="7">
        <v>3.1</v>
      </c>
      <c r="T586" t="s">
        <v>125</v>
      </c>
    </row>
    <row r="587" spans="1:20" x14ac:dyDescent="0.3">
      <c r="A587">
        <v>586</v>
      </c>
      <c r="B587" s="1">
        <v>44928</v>
      </c>
      <c r="C587">
        <v>2023</v>
      </c>
      <c r="D587">
        <v>1</v>
      </c>
      <c r="E587" t="s">
        <v>20</v>
      </c>
      <c r="F587">
        <v>2</v>
      </c>
      <c r="G587" t="s">
        <v>124</v>
      </c>
      <c r="H587" s="2">
        <v>46203.440567129626</v>
      </c>
      <c r="I587">
        <v>8</v>
      </c>
      <c r="J587" t="s">
        <v>22</v>
      </c>
      <c r="K587" s="8">
        <v>2</v>
      </c>
      <c r="L587">
        <v>8</v>
      </c>
      <c r="M587" t="s">
        <v>64</v>
      </c>
      <c r="N587">
        <v>25</v>
      </c>
      <c r="O587" t="s">
        <v>24</v>
      </c>
      <c r="P587" t="s">
        <v>82</v>
      </c>
      <c r="Q587" t="s">
        <v>96</v>
      </c>
      <c r="R587" s="7">
        <v>2.2000000000000002</v>
      </c>
      <c r="S587" s="7">
        <v>4.4000000000000004</v>
      </c>
      <c r="T587" t="s">
        <v>125</v>
      </c>
    </row>
    <row r="588" spans="1:20" x14ac:dyDescent="0.3">
      <c r="A588">
        <v>587</v>
      </c>
      <c r="B588" s="1">
        <v>44928</v>
      </c>
      <c r="C588">
        <v>2023</v>
      </c>
      <c r="D588">
        <v>1</v>
      </c>
      <c r="E588" t="s">
        <v>20</v>
      </c>
      <c r="F588">
        <v>2</v>
      </c>
      <c r="G588" t="s">
        <v>124</v>
      </c>
      <c r="H588" s="2">
        <v>46203.440625000003</v>
      </c>
      <c r="I588">
        <v>8</v>
      </c>
      <c r="J588" t="s">
        <v>22</v>
      </c>
      <c r="K588" s="8">
        <v>1</v>
      </c>
      <c r="L588">
        <v>8</v>
      </c>
      <c r="M588" t="s">
        <v>64</v>
      </c>
      <c r="N588">
        <v>48</v>
      </c>
      <c r="O588" t="s">
        <v>30</v>
      </c>
      <c r="P588" t="s">
        <v>57</v>
      </c>
      <c r="Q588" t="s">
        <v>93</v>
      </c>
      <c r="R588" s="7">
        <v>2.5</v>
      </c>
      <c r="S588" s="7">
        <v>2.5</v>
      </c>
      <c r="T588" t="s">
        <v>125</v>
      </c>
    </row>
    <row r="589" spans="1:20" x14ac:dyDescent="0.3">
      <c r="A589">
        <v>588</v>
      </c>
      <c r="B589" s="1">
        <v>44928</v>
      </c>
      <c r="C589">
        <v>2023</v>
      </c>
      <c r="D589">
        <v>1</v>
      </c>
      <c r="E589" t="s">
        <v>20</v>
      </c>
      <c r="F589">
        <v>2</v>
      </c>
      <c r="G589" t="s">
        <v>124</v>
      </c>
      <c r="H589" s="2">
        <v>46203.447106481479</v>
      </c>
      <c r="I589">
        <v>8</v>
      </c>
      <c r="J589" t="s">
        <v>22</v>
      </c>
      <c r="K589" s="8">
        <v>1</v>
      </c>
      <c r="L589">
        <v>8</v>
      </c>
      <c r="M589" t="s">
        <v>64</v>
      </c>
      <c r="N589">
        <v>32</v>
      </c>
      <c r="O589" t="s">
        <v>24</v>
      </c>
      <c r="P589" t="s">
        <v>25</v>
      </c>
      <c r="Q589" t="s">
        <v>26</v>
      </c>
      <c r="R589" s="7">
        <v>3</v>
      </c>
      <c r="S589" s="7">
        <v>3</v>
      </c>
      <c r="T589" t="s">
        <v>125</v>
      </c>
    </row>
    <row r="590" spans="1:20" x14ac:dyDescent="0.3">
      <c r="A590">
        <v>589</v>
      </c>
      <c r="B590" s="1">
        <v>44928</v>
      </c>
      <c r="C590">
        <v>2023</v>
      </c>
      <c r="D590">
        <v>1</v>
      </c>
      <c r="E590" t="s">
        <v>20</v>
      </c>
      <c r="F590">
        <v>2</v>
      </c>
      <c r="G590" t="s">
        <v>124</v>
      </c>
      <c r="H590" s="2">
        <v>46203.45244212963</v>
      </c>
      <c r="I590">
        <v>8</v>
      </c>
      <c r="J590" t="s">
        <v>22</v>
      </c>
      <c r="K590" s="8">
        <v>2</v>
      </c>
      <c r="L590">
        <v>5</v>
      </c>
      <c r="M590" t="s">
        <v>23</v>
      </c>
      <c r="N590">
        <v>32</v>
      </c>
      <c r="O590" t="s">
        <v>24</v>
      </c>
      <c r="P590" t="s">
        <v>25</v>
      </c>
      <c r="Q590" t="s">
        <v>26</v>
      </c>
      <c r="R590" s="7">
        <v>3</v>
      </c>
      <c r="S590" s="7">
        <v>6</v>
      </c>
      <c r="T590" t="s">
        <v>125</v>
      </c>
    </row>
    <row r="591" spans="1:20" x14ac:dyDescent="0.3">
      <c r="A591">
        <v>590</v>
      </c>
      <c r="B591" s="1">
        <v>44928</v>
      </c>
      <c r="C591">
        <v>2023</v>
      </c>
      <c r="D591">
        <v>1</v>
      </c>
      <c r="E591" t="s">
        <v>20</v>
      </c>
      <c r="F591">
        <v>2</v>
      </c>
      <c r="G591" t="s">
        <v>124</v>
      </c>
      <c r="H591" s="2">
        <v>46203.455324074072</v>
      </c>
      <c r="I591">
        <v>8</v>
      </c>
      <c r="J591" t="s">
        <v>22</v>
      </c>
      <c r="K591" s="8">
        <v>1</v>
      </c>
      <c r="L591">
        <v>5</v>
      </c>
      <c r="M591" t="s">
        <v>23</v>
      </c>
      <c r="N591">
        <v>28</v>
      </c>
      <c r="O591" t="s">
        <v>24</v>
      </c>
      <c r="P591" t="s">
        <v>25</v>
      </c>
      <c r="Q591" t="s">
        <v>46</v>
      </c>
      <c r="R591" s="7">
        <v>2</v>
      </c>
      <c r="S591" s="7">
        <v>2</v>
      </c>
      <c r="T591" t="s">
        <v>125</v>
      </c>
    </row>
    <row r="592" spans="1:20" x14ac:dyDescent="0.3">
      <c r="A592">
        <v>591</v>
      </c>
      <c r="B592" s="1">
        <v>44928</v>
      </c>
      <c r="C592">
        <v>2023</v>
      </c>
      <c r="D592">
        <v>1</v>
      </c>
      <c r="E592" t="s">
        <v>20</v>
      </c>
      <c r="F592">
        <v>2</v>
      </c>
      <c r="G592" t="s">
        <v>124</v>
      </c>
      <c r="H592" s="2">
        <v>46203.458495370367</v>
      </c>
      <c r="I592">
        <v>9</v>
      </c>
      <c r="J592" t="s">
        <v>22</v>
      </c>
      <c r="K592" s="8">
        <v>1</v>
      </c>
      <c r="L592">
        <v>8</v>
      </c>
      <c r="M592" t="s">
        <v>64</v>
      </c>
      <c r="N592">
        <v>39</v>
      </c>
      <c r="O592" t="s">
        <v>24</v>
      </c>
      <c r="P592" t="s">
        <v>48</v>
      </c>
      <c r="Q592" t="s">
        <v>49</v>
      </c>
      <c r="R592" s="7">
        <v>4.25</v>
      </c>
      <c r="S592" s="7">
        <v>4.25</v>
      </c>
      <c r="T592" t="s">
        <v>125</v>
      </c>
    </row>
    <row r="593" spans="1:20" x14ac:dyDescent="0.3">
      <c r="A593">
        <v>592</v>
      </c>
      <c r="B593" s="1">
        <v>44928</v>
      </c>
      <c r="C593">
        <v>2023</v>
      </c>
      <c r="D593">
        <v>1</v>
      </c>
      <c r="E593" t="s">
        <v>20</v>
      </c>
      <c r="F593">
        <v>2</v>
      </c>
      <c r="G593" t="s">
        <v>124</v>
      </c>
      <c r="H593" s="2">
        <v>46203.459305555552</v>
      </c>
      <c r="I593">
        <v>9</v>
      </c>
      <c r="J593" t="s">
        <v>22</v>
      </c>
      <c r="K593" s="8">
        <v>1</v>
      </c>
      <c r="L593">
        <v>8</v>
      </c>
      <c r="M593" t="s">
        <v>64</v>
      </c>
      <c r="N593">
        <v>53</v>
      </c>
      <c r="O593" t="s">
        <v>30</v>
      </c>
      <c r="P593" t="s">
        <v>31</v>
      </c>
      <c r="Q593" t="s">
        <v>104</v>
      </c>
      <c r="R593" s="7">
        <v>3</v>
      </c>
      <c r="S593" s="7">
        <v>3</v>
      </c>
      <c r="T593" t="s">
        <v>125</v>
      </c>
    </row>
    <row r="594" spans="1:20" x14ac:dyDescent="0.3">
      <c r="A594">
        <v>593</v>
      </c>
      <c r="B594" s="1">
        <v>44928</v>
      </c>
      <c r="C594">
        <v>2023</v>
      </c>
      <c r="D594">
        <v>1</v>
      </c>
      <c r="E594" t="s">
        <v>20</v>
      </c>
      <c r="F594">
        <v>2</v>
      </c>
      <c r="G594" t="s">
        <v>124</v>
      </c>
      <c r="H594" s="2">
        <v>46203.462835648148</v>
      </c>
      <c r="I594">
        <v>9</v>
      </c>
      <c r="J594" t="s">
        <v>22</v>
      </c>
      <c r="K594" s="8">
        <v>1</v>
      </c>
      <c r="L594">
        <v>5</v>
      </c>
      <c r="M594" t="s">
        <v>23</v>
      </c>
      <c r="N594">
        <v>33</v>
      </c>
      <c r="O594" t="s">
        <v>24</v>
      </c>
      <c r="P594" t="s">
        <v>25</v>
      </c>
      <c r="Q594" t="s">
        <v>56</v>
      </c>
      <c r="R594" s="7">
        <v>3.5</v>
      </c>
      <c r="S594" s="7">
        <v>3.5</v>
      </c>
      <c r="T594" t="s">
        <v>125</v>
      </c>
    </row>
    <row r="595" spans="1:20" x14ac:dyDescent="0.3">
      <c r="A595">
        <v>594</v>
      </c>
      <c r="B595" s="1">
        <v>44928</v>
      </c>
      <c r="C595">
        <v>2023</v>
      </c>
      <c r="D595">
        <v>1</v>
      </c>
      <c r="E595" t="s">
        <v>20</v>
      </c>
      <c r="F595">
        <v>2</v>
      </c>
      <c r="G595" t="s">
        <v>124</v>
      </c>
      <c r="H595" s="2">
        <v>46203.463553240741</v>
      </c>
      <c r="I595">
        <v>9</v>
      </c>
      <c r="J595" t="s">
        <v>22</v>
      </c>
      <c r="K595" s="8">
        <v>2</v>
      </c>
      <c r="L595">
        <v>5</v>
      </c>
      <c r="M595" t="s">
        <v>23</v>
      </c>
      <c r="N595">
        <v>37</v>
      </c>
      <c r="O595" t="s">
        <v>24</v>
      </c>
      <c r="P595" t="s">
        <v>48</v>
      </c>
      <c r="Q595" t="s">
        <v>107</v>
      </c>
      <c r="R595" s="7">
        <v>3</v>
      </c>
      <c r="S595" s="7">
        <v>6</v>
      </c>
      <c r="T595" t="s">
        <v>125</v>
      </c>
    </row>
    <row r="596" spans="1:20" x14ac:dyDescent="0.3">
      <c r="A596">
        <v>595</v>
      </c>
      <c r="B596" s="1">
        <v>44928</v>
      </c>
      <c r="C596">
        <v>2023</v>
      </c>
      <c r="D596">
        <v>1</v>
      </c>
      <c r="E596" t="s">
        <v>20</v>
      </c>
      <c r="F596">
        <v>2</v>
      </c>
      <c r="G596" t="s">
        <v>124</v>
      </c>
      <c r="H596" s="2">
        <v>46203.466087962966</v>
      </c>
      <c r="I596">
        <v>9</v>
      </c>
      <c r="J596" t="s">
        <v>22</v>
      </c>
      <c r="K596" s="8">
        <v>1</v>
      </c>
      <c r="L596">
        <v>8</v>
      </c>
      <c r="M596" t="s">
        <v>64</v>
      </c>
      <c r="N596">
        <v>59</v>
      </c>
      <c r="O596" t="s">
        <v>35</v>
      </c>
      <c r="P596" t="s">
        <v>36</v>
      </c>
      <c r="Q596" t="s">
        <v>37</v>
      </c>
      <c r="R596" s="7">
        <v>4.5</v>
      </c>
      <c r="S596" s="7">
        <v>4.5</v>
      </c>
      <c r="T596" t="s">
        <v>125</v>
      </c>
    </row>
    <row r="597" spans="1:20" x14ac:dyDescent="0.3">
      <c r="A597">
        <v>596</v>
      </c>
      <c r="B597" s="1">
        <v>44928</v>
      </c>
      <c r="C597">
        <v>2023</v>
      </c>
      <c r="D597">
        <v>1</v>
      </c>
      <c r="E597" t="s">
        <v>20</v>
      </c>
      <c r="F597">
        <v>2</v>
      </c>
      <c r="G597" t="s">
        <v>124</v>
      </c>
      <c r="H597" s="2">
        <v>46203.466087962966</v>
      </c>
      <c r="I597">
        <v>9</v>
      </c>
      <c r="J597" t="s">
        <v>22</v>
      </c>
      <c r="K597" s="8">
        <v>1</v>
      </c>
      <c r="L597">
        <v>8</v>
      </c>
      <c r="M597" t="s">
        <v>64</v>
      </c>
      <c r="N597">
        <v>79</v>
      </c>
      <c r="O597" t="s">
        <v>43</v>
      </c>
      <c r="P597" t="s">
        <v>44</v>
      </c>
      <c r="Q597" t="s">
        <v>62</v>
      </c>
      <c r="R597" s="7">
        <v>3.75</v>
      </c>
      <c r="S597" s="7">
        <v>3.75</v>
      </c>
      <c r="T597" t="s">
        <v>125</v>
      </c>
    </row>
    <row r="598" spans="1:20" x14ac:dyDescent="0.3">
      <c r="A598">
        <v>597</v>
      </c>
      <c r="B598" s="1">
        <v>44928</v>
      </c>
      <c r="C598">
        <v>2023</v>
      </c>
      <c r="D598">
        <v>1</v>
      </c>
      <c r="E598" t="s">
        <v>20</v>
      </c>
      <c r="F598">
        <v>2</v>
      </c>
      <c r="G598" t="s">
        <v>124</v>
      </c>
      <c r="H598" s="2">
        <v>46203.466493055559</v>
      </c>
      <c r="I598">
        <v>9</v>
      </c>
      <c r="J598" t="s">
        <v>22</v>
      </c>
      <c r="K598" s="8">
        <v>1</v>
      </c>
      <c r="L598">
        <v>8</v>
      </c>
      <c r="M598" t="s">
        <v>64</v>
      </c>
      <c r="N598">
        <v>61</v>
      </c>
      <c r="O598" t="s">
        <v>35</v>
      </c>
      <c r="P598" t="s">
        <v>36</v>
      </c>
      <c r="Q598" t="s">
        <v>68</v>
      </c>
      <c r="R598" s="7">
        <v>4.75</v>
      </c>
      <c r="S598" s="7">
        <v>4.75</v>
      </c>
      <c r="T598" t="s">
        <v>125</v>
      </c>
    </row>
    <row r="599" spans="1:20" x14ac:dyDescent="0.3">
      <c r="A599">
        <v>598</v>
      </c>
      <c r="B599" s="1">
        <v>44928</v>
      </c>
      <c r="C599">
        <v>2023</v>
      </c>
      <c r="D599">
        <v>1</v>
      </c>
      <c r="E599" t="s">
        <v>20</v>
      </c>
      <c r="F599">
        <v>2</v>
      </c>
      <c r="G599" t="s">
        <v>124</v>
      </c>
      <c r="H599" s="2">
        <v>46203.466631944444</v>
      </c>
      <c r="I599">
        <v>9</v>
      </c>
      <c r="J599" t="s">
        <v>22</v>
      </c>
      <c r="K599" s="8">
        <v>2</v>
      </c>
      <c r="L599">
        <v>8</v>
      </c>
      <c r="M599" t="s">
        <v>64</v>
      </c>
      <c r="N599">
        <v>34</v>
      </c>
      <c r="O599" t="s">
        <v>24</v>
      </c>
      <c r="P599" t="s">
        <v>99</v>
      </c>
      <c r="Q599" t="s">
        <v>100</v>
      </c>
      <c r="R599" s="7">
        <v>2.4500000000000002</v>
      </c>
      <c r="S599" s="7">
        <v>4.9000000000000004</v>
      </c>
      <c r="T599" t="s">
        <v>125</v>
      </c>
    </row>
    <row r="600" spans="1:20" x14ac:dyDescent="0.3">
      <c r="A600">
        <v>599</v>
      </c>
      <c r="B600" s="1">
        <v>44928</v>
      </c>
      <c r="C600">
        <v>2023</v>
      </c>
      <c r="D600">
        <v>1</v>
      </c>
      <c r="E600" t="s">
        <v>20</v>
      </c>
      <c r="F600">
        <v>2</v>
      </c>
      <c r="G600" t="s">
        <v>124</v>
      </c>
      <c r="H600" s="2">
        <v>46203.466631944444</v>
      </c>
      <c r="I600">
        <v>9</v>
      </c>
      <c r="J600" t="s">
        <v>22</v>
      </c>
      <c r="K600" s="8">
        <v>1</v>
      </c>
      <c r="L600">
        <v>8</v>
      </c>
      <c r="M600" t="s">
        <v>64</v>
      </c>
      <c r="N600">
        <v>72</v>
      </c>
      <c r="O600" t="s">
        <v>43</v>
      </c>
      <c r="P600" t="s">
        <v>44</v>
      </c>
      <c r="Q600" t="s">
        <v>109</v>
      </c>
      <c r="R600" s="7">
        <v>3.25</v>
      </c>
      <c r="S600" s="7">
        <v>3.25</v>
      </c>
      <c r="T600" t="s">
        <v>125</v>
      </c>
    </row>
    <row r="601" spans="1:20" x14ac:dyDescent="0.3">
      <c r="A601">
        <v>600</v>
      </c>
      <c r="B601" s="1">
        <v>44928</v>
      </c>
      <c r="C601">
        <v>2023</v>
      </c>
      <c r="D601">
        <v>1</v>
      </c>
      <c r="E601" t="s">
        <v>20</v>
      </c>
      <c r="F601">
        <v>2</v>
      </c>
      <c r="G601" t="s">
        <v>124</v>
      </c>
      <c r="H601" s="2">
        <v>46203.467210648145</v>
      </c>
      <c r="I601">
        <v>9</v>
      </c>
      <c r="J601" t="s">
        <v>22</v>
      </c>
      <c r="K601" s="8">
        <v>2</v>
      </c>
      <c r="L601">
        <v>5</v>
      </c>
      <c r="M601" t="s">
        <v>23</v>
      </c>
      <c r="N601">
        <v>31</v>
      </c>
      <c r="O601" t="s">
        <v>24</v>
      </c>
      <c r="P601" t="s">
        <v>25</v>
      </c>
      <c r="Q601" t="s">
        <v>116</v>
      </c>
      <c r="R601" s="7">
        <v>2.2000000000000002</v>
      </c>
      <c r="S601" s="7">
        <v>4.4000000000000004</v>
      </c>
      <c r="T601" t="s">
        <v>125</v>
      </c>
    </row>
    <row r="602" spans="1:20" x14ac:dyDescent="0.3">
      <c r="A602">
        <v>601</v>
      </c>
      <c r="B602" s="1">
        <v>44928</v>
      </c>
      <c r="C602">
        <v>2023</v>
      </c>
      <c r="D602">
        <v>1</v>
      </c>
      <c r="E602" t="s">
        <v>20</v>
      </c>
      <c r="F602">
        <v>2</v>
      </c>
      <c r="G602" t="s">
        <v>124</v>
      </c>
      <c r="H602" s="2">
        <v>46203.467210648145</v>
      </c>
      <c r="I602">
        <v>9</v>
      </c>
      <c r="J602" t="s">
        <v>22</v>
      </c>
      <c r="K602" s="8">
        <v>1</v>
      </c>
      <c r="L602">
        <v>5</v>
      </c>
      <c r="M602" t="s">
        <v>23</v>
      </c>
      <c r="N602">
        <v>75</v>
      </c>
      <c r="O602" t="s">
        <v>43</v>
      </c>
      <c r="P602" t="s">
        <v>78</v>
      </c>
      <c r="Q602" t="s">
        <v>115</v>
      </c>
      <c r="R602" s="7">
        <v>3.5</v>
      </c>
      <c r="S602" s="7">
        <v>3.5</v>
      </c>
      <c r="T602" t="s">
        <v>125</v>
      </c>
    </row>
    <row r="603" spans="1:20" x14ac:dyDescent="0.3">
      <c r="A603">
        <v>602</v>
      </c>
      <c r="B603" s="1">
        <v>44928</v>
      </c>
      <c r="C603">
        <v>2023</v>
      </c>
      <c r="D603">
        <v>1</v>
      </c>
      <c r="E603" t="s">
        <v>20</v>
      </c>
      <c r="F603">
        <v>2</v>
      </c>
      <c r="G603" t="s">
        <v>124</v>
      </c>
      <c r="H603" s="2">
        <v>46203.470231481479</v>
      </c>
      <c r="I603">
        <v>9</v>
      </c>
      <c r="J603" t="s">
        <v>22</v>
      </c>
      <c r="K603" s="8">
        <v>1</v>
      </c>
      <c r="L603">
        <v>8</v>
      </c>
      <c r="M603" t="s">
        <v>64</v>
      </c>
      <c r="N603">
        <v>46</v>
      </c>
      <c r="O603" t="s">
        <v>30</v>
      </c>
      <c r="P603" t="s">
        <v>60</v>
      </c>
      <c r="Q603" t="s">
        <v>95</v>
      </c>
      <c r="R603" s="7">
        <v>2.5</v>
      </c>
      <c r="S603" s="7">
        <v>2.5</v>
      </c>
      <c r="T603" t="s">
        <v>125</v>
      </c>
    </row>
    <row r="604" spans="1:20" x14ac:dyDescent="0.3">
      <c r="A604">
        <v>603</v>
      </c>
      <c r="B604" s="1">
        <v>44928</v>
      </c>
      <c r="C604">
        <v>2023</v>
      </c>
      <c r="D604">
        <v>1</v>
      </c>
      <c r="E604" t="s">
        <v>20</v>
      </c>
      <c r="F604">
        <v>2</v>
      </c>
      <c r="G604" t="s">
        <v>124</v>
      </c>
      <c r="H604" s="2">
        <v>46203.472928240742</v>
      </c>
      <c r="I604">
        <v>9</v>
      </c>
      <c r="J604" t="s">
        <v>22</v>
      </c>
      <c r="K604" s="8">
        <v>1</v>
      </c>
      <c r="L604">
        <v>8</v>
      </c>
      <c r="M604" t="s">
        <v>64</v>
      </c>
      <c r="N604">
        <v>55</v>
      </c>
      <c r="O604" t="s">
        <v>30</v>
      </c>
      <c r="P604" t="s">
        <v>31</v>
      </c>
      <c r="Q604" t="s">
        <v>88</v>
      </c>
      <c r="R604" s="7">
        <v>4</v>
      </c>
      <c r="S604" s="7">
        <v>4</v>
      </c>
      <c r="T604" t="s">
        <v>125</v>
      </c>
    </row>
    <row r="605" spans="1:20" x14ac:dyDescent="0.3">
      <c r="A605">
        <v>604</v>
      </c>
      <c r="B605" s="1">
        <v>44928</v>
      </c>
      <c r="C605">
        <v>2023</v>
      </c>
      <c r="D605">
        <v>1</v>
      </c>
      <c r="E605" t="s">
        <v>20</v>
      </c>
      <c r="F605">
        <v>2</v>
      </c>
      <c r="G605" t="s">
        <v>124</v>
      </c>
      <c r="H605" s="2">
        <v>46203.473912037036</v>
      </c>
      <c r="I605">
        <v>9</v>
      </c>
      <c r="J605" t="s">
        <v>22</v>
      </c>
      <c r="K605" s="8">
        <v>1</v>
      </c>
      <c r="L605">
        <v>8</v>
      </c>
      <c r="M605" t="s">
        <v>64</v>
      </c>
      <c r="N605">
        <v>40</v>
      </c>
      <c r="O605" t="s">
        <v>24</v>
      </c>
      <c r="P605" t="s">
        <v>48</v>
      </c>
      <c r="Q605" t="s">
        <v>74</v>
      </c>
      <c r="R605" s="7">
        <v>3.75</v>
      </c>
      <c r="S605" s="7">
        <v>3.75</v>
      </c>
      <c r="T605" t="s">
        <v>125</v>
      </c>
    </row>
    <row r="606" spans="1:20" x14ac:dyDescent="0.3">
      <c r="A606">
        <v>605</v>
      </c>
      <c r="B606" s="1">
        <v>44928</v>
      </c>
      <c r="C606">
        <v>2023</v>
      </c>
      <c r="D606">
        <v>1</v>
      </c>
      <c r="E606" t="s">
        <v>20</v>
      </c>
      <c r="F606">
        <v>2</v>
      </c>
      <c r="G606" t="s">
        <v>124</v>
      </c>
      <c r="H606" s="2">
        <v>46203.476006944446</v>
      </c>
      <c r="I606">
        <v>9</v>
      </c>
      <c r="J606" t="s">
        <v>22</v>
      </c>
      <c r="K606" s="8">
        <v>1</v>
      </c>
      <c r="L606">
        <v>5</v>
      </c>
      <c r="M606" t="s">
        <v>23</v>
      </c>
      <c r="N606">
        <v>29</v>
      </c>
      <c r="O606" t="s">
        <v>24</v>
      </c>
      <c r="P606" t="s">
        <v>25</v>
      </c>
      <c r="Q606" t="s">
        <v>85</v>
      </c>
      <c r="R606" s="7">
        <v>2.5</v>
      </c>
      <c r="S606" s="7">
        <v>2.5</v>
      </c>
      <c r="T606" t="s">
        <v>125</v>
      </c>
    </row>
    <row r="607" spans="1:20" x14ac:dyDescent="0.3">
      <c r="A607">
        <v>606</v>
      </c>
      <c r="B607" s="1">
        <v>44928</v>
      </c>
      <c r="C607">
        <v>2023</v>
      </c>
      <c r="D607">
        <v>1</v>
      </c>
      <c r="E607" t="s">
        <v>20</v>
      </c>
      <c r="F607">
        <v>2</v>
      </c>
      <c r="G607" t="s">
        <v>124</v>
      </c>
      <c r="H607" s="2">
        <v>46203.476574074077</v>
      </c>
      <c r="I607">
        <v>9</v>
      </c>
      <c r="J607" t="s">
        <v>22</v>
      </c>
      <c r="K607" s="8">
        <v>2</v>
      </c>
      <c r="L607">
        <v>8</v>
      </c>
      <c r="M607" t="s">
        <v>64</v>
      </c>
      <c r="N607">
        <v>28</v>
      </c>
      <c r="O607" t="s">
        <v>24</v>
      </c>
      <c r="P607" t="s">
        <v>25</v>
      </c>
      <c r="Q607" t="s">
        <v>46</v>
      </c>
      <c r="R607" s="7">
        <v>2</v>
      </c>
      <c r="S607" s="7">
        <v>4</v>
      </c>
      <c r="T607" t="s">
        <v>125</v>
      </c>
    </row>
    <row r="608" spans="1:20" x14ac:dyDescent="0.3">
      <c r="A608">
        <v>607</v>
      </c>
      <c r="B608" s="1">
        <v>44928</v>
      </c>
      <c r="C608">
        <v>2023</v>
      </c>
      <c r="D608">
        <v>1</v>
      </c>
      <c r="E608" t="s">
        <v>20</v>
      </c>
      <c r="F608">
        <v>2</v>
      </c>
      <c r="G608" t="s">
        <v>124</v>
      </c>
      <c r="H608" s="2">
        <v>46203.479016203702</v>
      </c>
      <c r="I608">
        <v>9</v>
      </c>
      <c r="J608" t="s">
        <v>22</v>
      </c>
      <c r="K608" s="8">
        <v>2</v>
      </c>
      <c r="L608">
        <v>8</v>
      </c>
      <c r="M608" t="s">
        <v>64</v>
      </c>
      <c r="N608">
        <v>22</v>
      </c>
      <c r="O608" t="s">
        <v>24</v>
      </c>
      <c r="P608" t="s">
        <v>40</v>
      </c>
      <c r="Q608" t="s">
        <v>41</v>
      </c>
      <c r="R608" s="7">
        <v>2</v>
      </c>
      <c r="S608" s="7">
        <v>4</v>
      </c>
      <c r="T608" t="s">
        <v>125</v>
      </c>
    </row>
    <row r="609" spans="1:20" x14ac:dyDescent="0.3">
      <c r="A609">
        <v>608</v>
      </c>
      <c r="B609" s="1">
        <v>44928</v>
      </c>
      <c r="C609">
        <v>2023</v>
      </c>
      <c r="D609">
        <v>1</v>
      </c>
      <c r="E609" t="s">
        <v>20</v>
      </c>
      <c r="F609">
        <v>2</v>
      </c>
      <c r="G609" t="s">
        <v>124</v>
      </c>
      <c r="H609" s="2">
        <v>46203.479016203702</v>
      </c>
      <c r="I609">
        <v>9</v>
      </c>
      <c r="J609" t="s">
        <v>22</v>
      </c>
      <c r="K609" s="8">
        <v>1</v>
      </c>
      <c r="L609">
        <v>8</v>
      </c>
      <c r="M609" t="s">
        <v>64</v>
      </c>
      <c r="N609">
        <v>70</v>
      </c>
      <c r="O609" t="s">
        <v>43</v>
      </c>
      <c r="P609" t="s">
        <v>44</v>
      </c>
      <c r="Q609" t="s">
        <v>111</v>
      </c>
      <c r="R609" s="7">
        <v>3.25</v>
      </c>
      <c r="S609" s="7">
        <v>3.25</v>
      </c>
      <c r="T609" t="s">
        <v>125</v>
      </c>
    </row>
    <row r="610" spans="1:20" x14ac:dyDescent="0.3">
      <c r="A610">
        <v>609</v>
      </c>
      <c r="B610" s="1">
        <v>44928</v>
      </c>
      <c r="C610">
        <v>2023</v>
      </c>
      <c r="D610">
        <v>1</v>
      </c>
      <c r="E610" t="s">
        <v>20</v>
      </c>
      <c r="F610">
        <v>2</v>
      </c>
      <c r="G610" t="s">
        <v>124</v>
      </c>
      <c r="H610" s="2">
        <v>46203.48028935185</v>
      </c>
      <c r="I610">
        <v>9</v>
      </c>
      <c r="J610" t="s">
        <v>22</v>
      </c>
      <c r="K610" s="8">
        <v>2</v>
      </c>
      <c r="L610">
        <v>8</v>
      </c>
      <c r="M610" t="s">
        <v>64</v>
      </c>
      <c r="N610">
        <v>59</v>
      </c>
      <c r="O610" t="s">
        <v>35</v>
      </c>
      <c r="P610" t="s">
        <v>36</v>
      </c>
      <c r="Q610" t="s">
        <v>37</v>
      </c>
      <c r="R610" s="7">
        <v>4.5</v>
      </c>
      <c r="S610" s="7">
        <v>9</v>
      </c>
      <c r="T610" t="s">
        <v>125</v>
      </c>
    </row>
    <row r="611" spans="1:20" x14ac:dyDescent="0.3">
      <c r="A611">
        <v>610</v>
      </c>
      <c r="B611" s="1">
        <v>44928</v>
      </c>
      <c r="C611">
        <v>2023</v>
      </c>
      <c r="D611">
        <v>1</v>
      </c>
      <c r="E611" t="s">
        <v>20</v>
      </c>
      <c r="F611">
        <v>2</v>
      </c>
      <c r="G611" t="s">
        <v>124</v>
      </c>
      <c r="H611" s="2">
        <v>46203.481909722221</v>
      </c>
      <c r="I611">
        <v>9</v>
      </c>
      <c r="J611" t="s">
        <v>22</v>
      </c>
      <c r="K611" s="8">
        <v>2</v>
      </c>
      <c r="L611">
        <v>8</v>
      </c>
      <c r="M611" t="s">
        <v>64</v>
      </c>
      <c r="N611">
        <v>23</v>
      </c>
      <c r="O611" t="s">
        <v>24</v>
      </c>
      <c r="P611" t="s">
        <v>40</v>
      </c>
      <c r="Q611" t="s">
        <v>94</v>
      </c>
      <c r="R611" s="7">
        <v>2.5</v>
      </c>
      <c r="S611" s="7">
        <v>5</v>
      </c>
      <c r="T611" t="s">
        <v>125</v>
      </c>
    </row>
    <row r="612" spans="1:20" x14ac:dyDescent="0.3">
      <c r="A612">
        <v>611</v>
      </c>
      <c r="B612" s="1">
        <v>44928</v>
      </c>
      <c r="C612">
        <v>2023</v>
      </c>
      <c r="D612">
        <v>1</v>
      </c>
      <c r="E612" t="s">
        <v>20</v>
      </c>
      <c r="F612">
        <v>2</v>
      </c>
      <c r="G612" t="s">
        <v>124</v>
      </c>
      <c r="H612" s="2">
        <v>46203.483634259261</v>
      </c>
      <c r="I612">
        <v>9</v>
      </c>
      <c r="J612" t="s">
        <v>22</v>
      </c>
      <c r="K612" s="8">
        <v>1</v>
      </c>
      <c r="L612">
        <v>8</v>
      </c>
      <c r="M612" t="s">
        <v>64</v>
      </c>
      <c r="N612">
        <v>87</v>
      </c>
      <c r="O612" t="s">
        <v>24</v>
      </c>
      <c r="P612" t="s">
        <v>48</v>
      </c>
      <c r="Q612" t="s">
        <v>59</v>
      </c>
      <c r="R612" s="7">
        <v>3</v>
      </c>
      <c r="S612" s="7">
        <v>3</v>
      </c>
      <c r="T612" t="s">
        <v>125</v>
      </c>
    </row>
    <row r="613" spans="1:20" x14ac:dyDescent="0.3">
      <c r="A613">
        <v>612</v>
      </c>
      <c r="B613" s="1">
        <v>44928</v>
      </c>
      <c r="C613">
        <v>2023</v>
      </c>
      <c r="D613">
        <v>1</v>
      </c>
      <c r="E613" t="s">
        <v>20</v>
      </c>
      <c r="F613">
        <v>2</v>
      </c>
      <c r="G613" t="s">
        <v>124</v>
      </c>
      <c r="H613" s="2">
        <v>46203.485254629632</v>
      </c>
      <c r="I613">
        <v>9</v>
      </c>
      <c r="J613" t="s">
        <v>22</v>
      </c>
      <c r="K613" s="8">
        <v>2</v>
      </c>
      <c r="L613">
        <v>8</v>
      </c>
      <c r="M613" t="s">
        <v>64</v>
      </c>
      <c r="N613">
        <v>87</v>
      </c>
      <c r="O613" t="s">
        <v>24</v>
      </c>
      <c r="P613" t="s">
        <v>48</v>
      </c>
      <c r="Q613" t="s">
        <v>59</v>
      </c>
      <c r="R613" s="7">
        <v>3</v>
      </c>
      <c r="S613" s="7">
        <v>6</v>
      </c>
      <c r="T613" t="s">
        <v>125</v>
      </c>
    </row>
    <row r="614" spans="1:20" x14ac:dyDescent="0.3">
      <c r="A614">
        <v>613</v>
      </c>
      <c r="B614" s="1">
        <v>44928</v>
      </c>
      <c r="C614">
        <v>2023</v>
      </c>
      <c r="D614">
        <v>1</v>
      </c>
      <c r="E614" t="s">
        <v>20</v>
      </c>
      <c r="F614">
        <v>2</v>
      </c>
      <c r="G614" t="s">
        <v>124</v>
      </c>
      <c r="H614" s="2">
        <v>46203.486712962964</v>
      </c>
      <c r="I614">
        <v>9</v>
      </c>
      <c r="J614" t="s">
        <v>22</v>
      </c>
      <c r="K614" s="8">
        <v>1</v>
      </c>
      <c r="L614">
        <v>5</v>
      </c>
      <c r="M614" t="s">
        <v>23</v>
      </c>
      <c r="N614">
        <v>48</v>
      </c>
      <c r="O614" t="s">
        <v>30</v>
      </c>
      <c r="P614" t="s">
        <v>57</v>
      </c>
      <c r="Q614" t="s">
        <v>93</v>
      </c>
      <c r="R614" s="7">
        <v>2.5</v>
      </c>
      <c r="S614" s="7">
        <v>2.5</v>
      </c>
      <c r="T614" t="s">
        <v>125</v>
      </c>
    </row>
    <row r="615" spans="1:20" x14ac:dyDescent="0.3">
      <c r="A615">
        <v>614</v>
      </c>
      <c r="B615" s="1">
        <v>44928</v>
      </c>
      <c r="C615">
        <v>2023</v>
      </c>
      <c r="D615">
        <v>1</v>
      </c>
      <c r="E615" t="s">
        <v>20</v>
      </c>
      <c r="F615">
        <v>2</v>
      </c>
      <c r="G615" t="s">
        <v>124</v>
      </c>
      <c r="H615" s="2">
        <v>46203.489976851852</v>
      </c>
      <c r="I615">
        <v>9</v>
      </c>
      <c r="J615" t="s">
        <v>22</v>
      </c>
      <c r="K615" s="8">
        <v>1</v>
      </c>
      <c r="L615">
        <v>5</v>
      </c>
      <c r="M615" t="s">
        <v>23</v>
      </c>
      <c r="N615">
        <v>30</v>
      </c>
      <c r="O615" t="s">
        <v>24</v>
      </c>
      <c r="P615" t="s">
        <v>25</v>
      </c>
      <c r="Q615" t="s">
        <v>119</v>
      </c>
      <c r="R615" s="7">
        <v>3</v>
      </c>
      <c r="S615" s="7">
        <v>3</v>
      </c>
      <c r="T615" t="s">
        <v>125</v>
      </c>
    </row>
    <row r="616" spans="1:20" x14ac:dyDescent="0.3">
      <c r="A616">
        <v>615</v>
      </c>
      <c r="B616" s="1">
        <v>44928</v>
      </c>
      <c r="C616">
        <v>2023</v>
      </c>
      <c r="D616">
        <v>1</v>
      </c>
      <c r="E616" t="s">
        <v>20</v>
      </c>
      <c r="F616">
        <v>2</v>
      </c>
      <c r="G616" t="s">
        <v>124</v>
      </c>
      <c r="H616" s="2">
        <v>46203.490659722222</v>
      </c>
      <c r="I616">
        <v>9</v>
      </c>
      <c r="J616" t="s">
        <v>22</v>
      </c>
      <c r="K616" s="8">
        <v>2</v>
      </c>
      <c r="L616">
        <v>8</v>
      </c>
      <c r="M616" t="s">
        <v>64</v>
      </c>
      <c r="N616">
        <v>48</v>
      </c>
      <c r="O616" t="s">
        <v>30</v>
      </c>
      <c r="P616" t="s">
        <v>57</v>
      </c>
      <c r="Q616" t="s">
        <v>93</v>
      </c>
      <c r="R616" s="7">
        <v>2.5</v>
      </c>
      <c r="S616" s="7">
        <v>5</v>
      </c>
      <c r="T616" t="s">
        <v>125</v>
      </c>
    </row>
    <row r="617" spans="1:20" x14ac:dyDescent="0.3">
      <c r="A617">
        <v>616</v>
      </c>
      <c r="B617" s="1">
        <v>44928</v>
      </c>
      <c r="C617">
        <v>2023</v>
      </c>
      <c r="D617">
        <v>1</v>
      </c>
      <c r="E617" t="s">
        <v>20</v>
      </c>
      <c r="F617">
        <v>2</v>
      </c>
      <c r="G617" t="s">
        <v>124</v>
      </c>
      <c r="H617" s="2">
        <v>46203.492199074077</v>
      </c>
      <c r="I617">
        <v>9</v>
      </c>
      <c r="J617" t="s">
        <v>22</v>
      </c>
      <c r="K617" s="8">
        <v>2</v>
      </c>
      <c r="L617">
        <v>8</v>
      </c>
      <c r="M617" t="s">
        <v>64</v>
      </c>
      <c r="N617">
        <v>32</v>
      </c>
      <c r="O617" t="s">
        <v>24</v>
      </c>
      <c r="P617" t="s">
        <v>25</v>
      </c>
      <c r="Q617" t="s">
        <v>26</v>
      </c>
      <c r="R617" s="7">
        <v>3</v>
      </c>
      <c r="S617" s="7">
        <v>6</v>
      </c>
      <c r="T617" t="s">
        <v>125</v>
      </c>
    </row>
    <row r="618" spans="1:20" x14ac:dyDescent="0.3">
      <c r="A618">
        <v>617</v>
      </c>
      <c r="B618" s="1">
        <v>44928</v>
      </c>
      <c r="C618">
        <v>2023</v>
      </c>
      <c r="D618">
        <v>1</v>
      </c>
      <c r="E618" t="s">
        <v>20</v>
      </c>
      <c r="F618">
        <v>2</v>
      </c>
      <c r="G618" t="s">
        <v>124</v>
      </c>
      <c r="H618" s="2">
        <v>46203.493159722224</v>
      </c>
      <c r="I618">
        <v>9</v>
      </c>
      <c r="J618" t="s">
        <v>22</v>
      </c>
      <c r="K618" s="8">
        <v>1</v>
      </c>
      <c r="L618">
        <v>8</v>
      </c>
      <c r="M618" t="s">
        <v>64</v>
      </c>
      <c r="N618">
        <v>27</v>
      </c>
      <c r="O618" t="s">
        <v>24</v>
      </c>
      <c r="P618" t="s">
        <v>82</v>
      </c>
      <c r="Q618" t="s">
        <v>84</v>
      </c>
      <c r="R618" s="7">
        <v>3.5</v>
      </c>
      <c r="S618" s="7">
        <v>3.5</v>
      </c>
      <c r="T618" t="s">
        <v>125</v>
      </c>
    </row>
    <row r="619" spans="1:20" x14ac:dyDescent="0.3">
      <c r="A619">
        <v>618</v>
      </c>
      <c r="B619" s="1">
        <v>44928</v>
      </c>
      <c r="C619">
        <v>2023</v>
      </c>
      <c r="D619">
        <v>1</v>
      </c>
      <c r="E619" t="s">
        <v>20</v>
      </c>
      <c r="F619">
        <v>2</v>
      </c>
      <c r="G619" t="s">
        <v>124</v>
      </c>
      <c r="H619" s="2">
        <v>46203.493715277778</v>
      </c>
      <c r="I619">
        <v>9</v>
      </c>
      <c r="J619" t="s">
        <v>22</v>
      </c>
      <c r="K619" s="8">
        <v>1</v>
      </c>
      <c r="L619">
        <v>5</v>
      </c>
      <c r="M619" t="s">
        <v>23</v>
      </c>
      <c r="N619">
        <v>23</v>
      </c>
      <c r="O619" t="s">
        <v>24</v>
      </c>
      <c r="P619" t="s">
        <v>40</v>
      </c>
      <c r="Q619" t="s">
        <v>94</v>
      </c>
      <c r="R619" s="7">
        <v>2.5</v>
      </c>
      <c r="S619" s="7">
        <v>2.5</v>
      </c>
      <c r="T619" t="s">
        <v>125</v>
      </c>
    </row>
    <row r="620" spans="1:20" x14ac:dyDescent="0.3">
      <c r="A620">
        <v>619</v>
      </c>
      <c r="B620" s="1">
        <v>44928</v>
      </c>
      <c r="C620">
        <v>2023</v>
      </c>
      <c r="D620">
        <v>1</v>
      </c>
      <c r="E620" t="s">
        <v>20</v>
      </c>
      <c r="F620">
        <v>2</v>
      </c>
      <c r="G620" t="s">
        <v>124</v>
      </c>
      <c r="H620" s="2">
        <v>46203.494641203702</v>
      </c>
      <c r="I620">
        <v>9</v>
      </c>
      <c r="J620" t="s">
        <v>22</v>
      </c>
      <c r="K620" s="8">
        <v>1</v>
      </c>
      <c r="L620">
        <v>5</v>
      </c>
      <c r="M620" t="s">
        <v>23</v>
      </c>
      <c r="N620">
        <v>26</v>
      </c>
      <c r="O620" t="s">
        <v>24</v>
      </c>
      <c r="P620" t="s">
        <v>82</v>
      </c>
      <c r="Q620" t="s">
        <v>83</v>
      </c>
      <c r="R620" s="7">
        <v>3</v>
      </c>
      <c r="S620" s="7">
        <v>3</v>
      </c>
      <c r="T620" t="s">
        <v>125</v>
      </c>
    </row>
    <row r="621" spans="1:20" x14ac:dyDescent="0.3">
      <c r="A621">
        <v>620</v>
      </c>
      <c r="B621" s="1">
        <v>44928</v>
      </c>
      <c r="C621">
        <v>2023</v>
      </c>
      <c r="D621">
        <v>1</v>
      </c>
      <c r="E621" t="s">
        <v>20</v>
      </c>
      <c r="F621">
        <v>2</v>
      </c>
      <c r="G621" t="s">
        <v>124</v>
      </c>
      <c r="H621" s="2">
        <v>46203.496388888889</v>
      </c>
      <c r="I621">
        <v>9</v>
      </c>
      <c r="J621" t="s">
        <v>22</v>
      </c>
      <c r="K621" s="8">
        <v>1</v>
      </c>
      <c r="L621">
        <v>8</v>
      </c>
      <c r="M621" t="s">
        <v>64</v>
      </c>
      <c r="N621">
        <v>34</v>
      </c>
      <c r="O621" t="s">
        <v>24</v>
      </c>
      <c r="P621" t="s">
        <v>99</v>
      </c>
      <c r="Q621" t="s">
        <v>100</v>
      </c>
      <c r="R621" s="7">
        <v>2.4500000000000002</v>
      </c>
      <c r="S621" s="7">
        <v>2.4500000000000002</v>
      </c>
      <c r="T621" t="s">
        <v>125</v>
      </c>
    </row>
    <row r="622" spans="1:20" x14ac:dyDescent="0.3">
      <c r="A622">
        <v>621</v>
      </c>
      <c r="B622" s="1">
        <v>44928</v>
      </c>
      <c r="C622">
        <v>2023</v>
      </c>
      <c r="D622">
        <v>1</v>
      </c>
      <c r="E622" t="s">
        <v>20</v>
      </c>
      <c r="F622">
        <v>2</v>
      </c>
      <c r="G622" t="s">
        <v>124</v>
      </c>
      <c r="H622" s="2">
        <v>46203.497546296298</v>
      </c>
      <c r="I622">
        <v>9</v>
      </c>
      <c r="J622" t="s">
        <v>22</v>
      </c>
      <c r="K622" s="8">
        <v>2</v>
      </c>
      <c r="L622">
        <v>8</v>
      </c>
      <c r="M622" t="s">
        <v>64</v>
      </c>
      <c r="N622">
        <v>41</v>
      </c>
      <c r="O622" t="s">
        <v>24</v>
      </c>
      <c r="P622" t="s">
        <v>48</v>
      </c>
      <c r="Q622" t="s">
        <v>105</v>
      </c>
      <c r="R622" s="7">
        <v>4.25</v>
      </c>
      <c r="S622" s="7">
        <v>8.5</v>
      </c>
      <c r="T622" t="s">
        <v>125</v>
      </c>
    </row>
    <row r="623" spans="1:20" x14ac:dyDescent="0.3">
      <c r="A623">
        <v>622</v>
      </c>
      <c r="B623" s="1">
        <v>44928</v>
      </c>
      <c r="C623">
        <v>2023</v>
      </c>
      <c r="D623">
        <v>1</v>
      </c>
      <c r="E623" t="s">
        <v>20</v>
      </c>
      <c r="F623">
        <v>2</v>
      </c>
      <c r="G623" t="s">
        <v>124</v>
      </c>
      <c r="H623" s="2">
        <v>46203.497743055559</v>
      </c>
      <c r="I623">
        <v>9</v>
      </c>
      <c r="J623" t="s">
        <v>22</v>
      </c>
      <c r="K623" s="8">
        <v>1</v>
      </c>
      <c r="L623">
        <v>5</v>
      </c>
      <c r="M623" t="s">
        <v>23</v>
      </c>
      <c r="N623">
        <v>51</v>
      </c>
      <c r="O623" t="s">
        <v>30</v>
      </c>
      <c r="P623" t="s">
        <v>57</v>
      </c>
      <c r="Q623" t="s">
        <v>58</v>
      </c>
      <c r="R623" s="7">
        <v>3</v>
      </c>
      <c r="S623" s="7">
        <v>3</v>
      </c>
      <c r="T623" t="s">
        <v>125</v>
      </c>
    </row>
    <row r="624" spans="1:20" x14ac:dyDescent="0.3">
      <c r="A624">
        <v>623</v>
      </c>
      <c r="B624" s="1">
        <v>44928</v>
      </c>
      <c r="C624">
        <v>2023</v>
      </c>
      <c r="D624">
        <v>1</v>
      </c>
      <c r="E624" t="s">
        <v>20</v>
      </c>
      <c r="F624">
        <v>2</v>
      </c>
      <c r="G624" t="s">
        <v>124</v>
      </c>
      <c r="H624" s="2">
        <v>46203.499155092592</v>
      </c>
      <c r="I624">
        <v>9</v>
      </c>
      <c r="J624" t="s">
        <v>22</v>
      </c>
      <c r="K624" s="8">
        <v>2</v>
      </c>
      <c r="L624">
        <v>5</v>
      </c>
      <c r="M624" t="s">
        <v>23</v>
      </c>
      <c r="N624">
        <v>37</v>
      </c>
      <c r="O624" t="s">
        <v>24</v>
      </c>
      <c r="P624" t="s">
        <v>48</v>
      </c>
      <c r="Q624" t="s">
        <v>107</v>
      </c>
      <c r="R624" s="7">
        <v>3</v>
      </c>
      <c r="S624" s="7">
        <v>6</v>
      </c>
      <c r="T624" t="s">
        <v>125</v>
      </c>
    </row>
    <row r="625" spans="1:20" x14ac:dyDescent="0.3">
      <c r="A625">
        <v>624</v>
      </c>
      <c r="B625" s="1">
        <v>44928</v>
      </c>
      <c r="C625">
        <v>2023</v>
      </c>
      <c r="D625">
        <v>1</v>
      </c>
      <c r="E625" t="s">
        <v>20</v>
      </c>
      <c r="F625">
        <v>2</v>
      </c>
      <c r="G625" t="s">
        <v>124</v>
      </c>
      <c r="H625" s="2">
        <v>46203.501354166663</v>
      </c>
      <c r="I625">
        <v>10</v>
      </c>
      <c r="J625" t="s">
        <v>22</v>
      </c>
      <c r="K625" s="8">
        <v>1</v>
      </c>
      <c r="L625">
        <v>8</v>
      </c>
      <c r="M625" t="s">
        <v>64</v>
      </c>
      <c r="N625">
        <v>61</v>
      </c>
      <c r="O625" t="s">
        <v>35</v>
      </c>
      <c r="P625" t="s">
        <v>36</v>
      </c>
      <c r="Q625" t="s">
        <v>68</v>
      </c>
      <c r="R625" s="7">
        <v>4.75</v>
      </c>
      <c r="S625" s="7">
        <v>4.75</v>
      </c>
      <c r="T625" t="s">
        <v>125</v>
      </c>
    </row>
    <row r="626" spans="1:20" x14ac:dyDescent="0.3">
      <c r="A626">
        <v>625</v>
      </c>
      <c r="B626" s="1">
        <v>44928</v>
      </c>
      <c r="C626">
        <v>2023</v>
      </c>
      <c r="D626">
        <v>1</v>
      </c>
      <c r="E626" t="s">
        <v>20</v>
      </c>
      <c r="F626">
        <v>2</v>
      </c>
      <c r="G626" t="s">
        <v>124</v>
      </c>
      <c r="H626" s="2">
        <v>46203.502534722225</v>
      </c>
      <c r="I626">
        <v>10</v>
      </c>
      <c r="J626" t="s">
        <v>22</v>
      </c>
      <c r="K626" s="8">
        <v>1</v>
      </c>
      <c r="L626">
        <v>8</v>
      </c>
      <c r="M626" t="s">
        <v>64</v>
      </c>
      <c r="N626">
        <v>30</v>
      </c>
      <c r="O626" t="s">
        <v>24</v>
      </c>
      <c r="P626" t="s">
        <v>25</v>
      </c>
      <c r="Q626" t="s">
        <v>119</v>
      </c>
      <c r="R626" s="7">
        <v>3</v>
      </c>
      <c r="S626" s="7">
        <v>3</v>
      </c>
      <c r="T626" t="s">
        <v>125</v>
      </c>
    </row>
    <row r="627" spans="1:20" x14ac:dyDescent="0.3">
      <c r="A627">
        <v>626</v>
      </c>
      <c r="B627" s="1">
        <v>44928</v>
      </c>
      <c r="C627">
        <v>2023</v>
      </c>
      <c r="D627">
        <v>1</v>
      </c>
      <c r="E627" t="s">
        <v>20</v>
      </c>
      <c r="F627">
        <v>2</v>
      </c>
      <c r="G627" t="s">
        <v>124</v>
      </c>
      <c r="H627" s="2">
        <v>46203.502534722225</v>
      </c>
      <c r="I627">
        <v>10</v>
      </c>
      <c r="J627" t="s">
        <v>22</v>
      </c>
      <c r="K627" s="8">
        <v>1</v>
      </c>
      <c r="L627">
        <v>8</v>
      </c>
      <c r="M627" t="s">
        <v>64</v>
      </c>
      <c r="N627">
        <v>76</v>
      </c>
      <c r="O627" t="s">
        <v>43</v>
      </c>
      <c r="P627" t="s">
        <v>71</v>
      </c>
      <c r="Q627" t="s">
        <v>76</v>
      </c>
      <c r="R627" s="7">
        <v>3.5</v>
      </c>
      <c r="S627" s="7">
        <v>3.5</v>
      </c>
      <c r="T627" t="s">
        <v>125</v>
      </c>
    </row>
    <row r="628" spans="1:20" x14ac:dyDescent="0.3">
      <c r="A628">
        <v>627</v>
      </c>
      <c r="B628" s="1">
        <v>44928</v>
      </c>
      <c r="C628">
        <v>2023</v>
      </c>
      <c r="D628">
        <v>1</v>
      </c>
      <c r="E628" t="s">
        <v>20</v>
      </c>
      <c r="F628">
        <v>2</v>
      </c>
      <c r="G628" t="s">
        <v>124</v>
      </c>
      <c r="H628" s="2">
        <v>46203.503599537034</v>
      </c>
      <c r="I628">
        <v>10</v>
      </c>
      <c r="J628" t="s">
        <v>22</v>
      </c>
      <c r="K628" s="8">
        <v>1</v>
      </c>
      <c r="L628">
        <v>5</v>
      </c>
      <c r="M628" t="s">
        <v>23</v>
      </c>
      <c r="N628">
        <v>58</v>
      </c>
      <c r="O628" t="s">
        <v>35</v>
      </c>
      <c r="P628" t="s">
        <v>36</v>
      </c>
      <c r="Q628" t="s">
        <v>51</v>
      </c>
      <c r="R628" s="7">
        <v>3.5</v>
      </c>
      <c r="S628" s="7">
        <v>3.5</v>
      </c>
      <c r="T628" t="s">
        <v>125</v>
      </c>
    </row>
    <row r="629" spans="1:20" x14ac:dyDescent="0.3">
      <c r="A629">
        <v>628</v>
      </c>
      <c r="B629" s="1">
        <v>44928</v>
      </c>
      <c r="C629">
        <v>2023</v>
      </c>
      <c r="D629">
        <v>1</v>
      </c>
      <c r="E629" t="s">
        <v>20</v>
      </c>
      <c r="F629">
        <v>2</v>
      </c>
      <c r="G629" t="s">
        <v>124</v>
      </c>
      <c r="H629" s="2">
        <v>46203.50372685185</v>
      </c>
      <c r="I629">
        <v>10</v>
      </c>
      <c r="J629" t="s">
        <v>22</v>
      </c>
      <c r="K629" s="8">
        <v>1</v>
      </c>
      <c r="L629">
        <v>5</v>
      </c>
      <c r="M629" t="s">
        <v>23</v>
      </c>
      <c r="N629">
        <v>55</v>
      </c>
      <c r="O629" t="s">
        <v>30</v>
      </c>
      <c r="P629" t="s">
        <v>31</v>
      </c>
      <c r="Q629" t="s">
        <v>88</v>
      </c>
      <c r="R629" s="7">
        <v>4</v>
      </c>
      <c r="S629" s="7">
        <v>4</v>
      </c>
      <c r="T629" t="s">
        <v>125</v>
      </c>
    </row>
    <row r="630" spans="1:20" x14ac:dyDescent="0.3">
      <c r="A630">
        <v>629</v>
      </c>
      <c r="B630" s="1">
        <v>44928</v>
      </c>
      <c r="C630">
        <v>2023</v>
      </c>
      <c r="D630">
        <v>1</v>
      </c>
      <c r="E630" t="s">
        <v>20</v>
      </c>
      <c r="F630">
        <v>2</v>
      </c>
      <c r="G630" t="s">
        <v>124</v>
      </c>
      <c r="H630" s="2">
        <v>46203.505185185182</v>
      </c>
      <c r="I630">
        <v>10</v>
      </c>
      <c r="J630" t="s">
        <v>22</v>
      </c>
      <c r="K630" s="8">
        <v>1</v>
      </c>
      <c r="L630">
        <v>5</v>
      </c>
      <c r="M630" t="s">
        <v>23</v>
      </c>
      <c r="N630">
        <v>26</v>
      </c>
      <c r="O630" t="s">
        <v>24</v>
      </c>
      <c r="P630" t="s">
        <v>82</v>
      </c>
      <c r="Q630" t="s">
        <v>83</v>
      </c>
      <c r="R630" s="7">
        <v>3</v>
      </c>
      <c r="S630" s="7">
        <v>3</v>
      </c>
      <c r="T630" t="s">
        <v>125</v>
      </c>
    </row>
    <row r="631" spans="1:20" x14ac:dyDescent="0.3">
      <c r="A631">
        <v>630</v>
      </c>
      <c r="B631" s="1">
        <v>44928</v>
      </c>
      <c r="C631">
        <v>2023</v>
      </c>
      <c r="D631">
        <v>1</v>
      </c>
      <c r="E631" t="s">
        <v>20</v>
      </c>
      <c r="F631">
        <v>2</v>
      </c>
      <c r="G631" t="s">
        <v>124</v>
      </c>
      <c r="H631" s="2">
        <v>46203.50582175926</v>
      </c>
      <c r="I631">
        <v>10</v>
      </c>
      <c r="J631" t="s">
        <v>22</v>
      </c>
      <c r="K631" s="8">
        <v>1</v>
      </c>
      <c r="L631">
        <v>8</v>
      </c>
      <c r="M631" t="s">
        <v>64</v>
      </c>
      <c r="N631">
        <v>43</v>
      </c>
      <c r="O631" t="s">
        <v>30</v>
      </c>
      <c r="P631" t="s">
        <v>65</v>
      </c>
      <c r="Q631" t="s">
        <v>75</v>
      </c>
      <c r="R631" s="7">
        <v>3</v>
      </c>
      <c r="S631" s="7">
        <v>3</v>
      </c>
      <c r="T631" t="s">
        <v>125</v>
      </c>
    </row>
    <row r="632" spans="1:20" x14ac:dyDescent="0.3">
      <c r="A632">
        <v>631</v>
      </c>
      <c r="B632" s="1">
        <v>44928</v>
      </c>
      <c r="C632">
        <v>2023</v>
      </c>
      <c r="D632">
        <v>1</v>
      </c>
      <c r="E632" t="s">
        <v>20</v>
      </c>
      <c r="F632">
        <v>2</v>
      </c>
      <c r="G632" t="s">
        <v>124</v>
      </c>
      <c r="H632" s="2">
        <v>46203.507488425923</v>
      </c>
      <c r="I632">
        <v>10</v>
      </c>
      <c r="J632" t="s">
        <v>22</v>
      </c>
      <c r="K632" s="8">
        <v>2</v>
      </c>
      <c r="L632">
        <v>8</v>
      </c>
      <c r="M632" t="s">
        <v>64</v>
      </c>
      <c r="N632">
        <v>56</v>
      </c>
      <c r="O632" t="s">
        <v>30</v>
      </c>
      <c r="P632" t="s">
        <v>31</v>
      </c>
      <c r="Q632" t="s">
        <v>54</v>
      </c>
      <c r="R632" s="7">
        <v>2.5499999999999998</v>
      </c>
      <c r="S632" s="7">
        <v>5.0999999999999996</v>
      </c>
      <c r="T632" t="s">
        <v>125</v>
      </c>
    </row>
    <row r="633" spans="1:20" x14ac:dyDescent="0.3">
      <c r="A633">
        <v>632</v>
      </c>
      <c r="B633" s="1">
        <v>44928</v>
      </c>
      <c r="C633">
        <v>2023</v>
      </c>
      <c r="D633">
        <v>1</v>
      </c>
      <c r="E633" t="s">
        <v>20</v>
      </c>
      <c r="F633">
        <v>2</v>
      </c>
      <c r="G633" t="s">
        <v>124</v>
      </c>
      <c r="H633" s="2">
        <v>46203.509664351855</v>
      </c>
      <c r="I633">
        <v>10</v>
      </c>
      <c r="J633" t="s">
        <v>22</v>
      </c>
      <c r="K633" s="8">
        <v>2</v>
      </c>
      <c r="L633">
        <v>5</v>
      </c>
      <c r="M633" t="s">
        <v>23</v>
      </c>
      <c r="N633">
        <v>26</v>
      </c>
      <c r="O633" t="s">
        <v>24</v>
      </c>
      <c r="P633" t="s">
        <v>82</v>
      </c>
      <c r="Q633" t="s">
        <v>83</v>
      </c>
      <c r="R633" s="7">
        <v>3</v>
      </c>
      <c r="S633" s="7">
        <v>6</v>
      </c>
      <c r="T633" t="s">
        <v>125</v>
      </c>
    </row>
    <row r="634" spans="1:20" x14ac:dyDescent="0.3">
      <c r="A634">
        <v>633</v>
      </c>
      <c r="B634" s="1">
        <v>44928</v>
      </c>
      <c r="C634">
        <v>2023</v>
      </c>
      <c r="D634">
        <v>1</v>
      </c>
      <c r="E634" t="s">
        <v>20</v>
      </c>
      <c r="F634">
        <v>2</v>
      </c>
      <c r="G634" t="s">
        <v>124</v>
      </c>
      <c r="H634" s="2">
        <v>46203.509664351855</v>
      </c>
      <c r="I634">
        <v>10</v>
      </c>
      <c r="J634" t="s">
        <v>22</v>
      </c>
      <c r="K634" s="8">
        <v>1</v>
      </c>
      <c r="L634">
        <v>5</v>
      </c>
      <c r="M634" t="s">
        <v>23</v>
      </c>
      <c r="N634">
        <v>79</v>
      </c>
      <c r="O634" t="s">
        <v>43</v>
      </c>
      <c r="P634" t="s">
        <v>44</v>
      </c>
      <c r="Q634" t="s">
        <v>62</v>
      </c>
      <c r="R634" s="7">
        <v>3.75</v>
      </c>
      <c r="S634" s="7">
        <v>3.75</v>
      </c>
      <c r="T634" t="s">
        <v>125</v>
      </c>
    </row>
    <row r="635" spans="1:20" x14ac:dyDescent="0.3">
      <c r="A635">
        <v>634</v>
      </c>
      <c r="B635" s="1">
        <v>44928</v>
      </c>
      <c r="C635">
        <v>2023</v>
      </c>
      <c r="D635">
        <v>1</v>
      </c>
      <c r="E635" t="s">
        <v>20</v>
      </c>
      <c r="F635">
        <v>2</v>
      </c>
      <c r="G635" t="s">
        <v>124</v>
      </c>
      <c r="H635" s="2">
        <v>46203.511608796296</v>
      </c>
      <c r="I635">
        <v>10</v>
      </c>
      <c r="J635" t="s">
        <v>22</v>
      </c>
      <c r="K635" s="8">
        <v>1</v>
      </c>
      <c r="L635">
        <v>5</v>
      </c>
      <c r="M635" t="s">
        <v>23</v>
      </c>
      <c r="N635">
        <v>28</v>
      </c>
      <c r="O635" t="s">
        <v>24</v>
      </c>
      <c r="P635" t="s">
        <v>25</v>
      </c>
      <c r="Q635" t="s">
        <v>46</v>
      </c>
      <c r="R635" s="7">
        <v>2</v>
      </c>
      <c r="S635" s="7">
        <v>2</v>
      </c>
      <c r="T635" t="s">
        <v>125</v>
      </c>
    </row>
    <row r="636" spans="1:20" x14ac:dyDescent="0.3">
      <c r="A636">
        <v>635</v>
      </c>
      <c r="B636" s="1">
        <v>44928</v>
      </c>
      <c r="C636">
        <v>2023</v>
      </c>
      <c r="D636">
        <v>1</v>
      </c>
      <c r="E636" t="s">
        <v>20</v>
      </c>
      <c r="F636">
        <v>2</v>
      </c>
      <c r="G636" t="s">
        <v>124</v>
      </c>
      <c r="H636" s="2">
        <v>46203.51357638889</v>
      </c>
      <c r="I636">
        <v>10</v>
      </c>
      <c r="J636" t="s">
        <v>22</v>
      </c>
      <c r="K636" s="8">
        <v>1</v>
      </c>
      <c r="L636">
        <v>8</v>
      </c>
      <c r="M636" t="s">
        <v>64</v>
      </c>
      <c r="N636">
        <v>61</v>
      </c>
      <c r="O636" t="s">
        <v>35</v>
      </c>
      <c r="P636" t="s">
        <v>36</v>
      </c>
      <c r="Q636" t="s">
        <v>68</v>
      </c>
      <c r="R636" s="7">
        <v>4.75</v>
      </c>
      <c r="S636" s="7">
        <v>4.75</v>
      </c>
      <c r="T636" t="s">
        <v>125</v>
      </c>
    </row>
    <row r="637" spans="1:20" x14ac:dyDescent="0.3">
      <c r="A637">
        <v>636</v>
      </c>
      <c r="B637" s="1">
        <v>44928</v>
      </c>
      <c r="C637">
        <v>2023</v>
      </c>
      <c r="D637">
        <v>1</v>
      </c>
      <c r="E637" t="s">
        <v>20</v>
      </c>
      <c r="F637">
        <v>2</v>
      </c>
      <c r="G637" t="s">
        <v>124</v>
      </c>
      <c r="H637" s="2">
        <v>46203.514490740738</v>
      </c>
      <c r="I637">
        <v>10</v>
      </c>
      <c r="J637" t="s">
        <v>22</v>
      </c>
      <c r="K637" s="8">
        <v>2</v>
      </c>
      <c r="L637">
        <v>8</v>
      </c>
      <c r="M637" t="s">
        <v>64</v>
      </c>
      <c r="N637">
        <v>42</v>
      </c>
      <c r="O637" t="s">
        <v>30</v>
      </c>
      <c r="P637" t="s">
        <v>65</v>
      </c>
      <c r="Q637" t="s">
        <v>66</v>
      </c>
      <c r="R637" s="7">
        <v>2.5</v>
      </c>
      <c r="S637" s="7">
        <v>5</v>
      </c>
      <c r="T637" t="s">
        <v>125</v>
      </c>
    </row>
    <row r="638" spans="1:20" x14ac:dyDescent="0.3">
      <c r="A638">
        <v>637</v>
      </c>
      <c r="B638" s="1">
        <v>44928</v>
      </c>
      <c r="C638">
        <v>2023</v>
      </c>
      <c r="D638">
        <v>1</v>
      </c>
      <c r="E638" t="s">
        <v>20</v>
      </c>
      <c r="F638">
        <v>2</v>
      </c>
      <c r="G638" t="s">
        <v>124</v>
      </c>
      <c r="H638" s="2">
        <v>46203.515497685185</v>
      </c>
      <c r="I638">
        <v>10</v>
      </c>
      <c r="J638" t="s">
        <v>22</v>
      </c>
      <c r="K638" s="8">
        <v>1</v>
      </c>
      <c r="L638">
        <v>5</v>
      </c>
      <c r="M638" t="s">
        <v>23</v>
      </c>
      <c r="N638">
        <v>23</v>
      </c>
      <c r="O638" t="s">
        <v>24</v>
      </c>
      <c r="P638" t="s">
        <v>40</v>
      </c>
      <c r="Q638" t="s">
        <v>94</v>
      </c>
      <c r="R638" s="7">
        <v>2.5</v>
      </c>
      <c r="S638" s="7">
        <v>2.5</v>
      </c>
      <c r="T638" t="s">
        <v>125</v>
      </c>
    </row>
    <row r="639" spans="1:20" x14ac:dyDescent="0.3">
      <c r="A639">
        <v>638</v>
      </c>
      <c r="B639" s="1">
        <v>44928</v>
      </c>
      <c r="C639">
        <v>2023</v>
      </c>
      <c r="D639">
        <v>1</v>
      </c>
      <c r="E639" t="s">
        <v>20</v>
      </c>
      <c r="F639">
        <v>2</v>
      </c>
      <c r="G639" t="s">
        <v>124</v>
      </c>
      <c r="H639" s="2">
        <v>46203.518622685187</v>
      </c>
      <c r="I639">
        <v>10</v>
      </c>
      <c r="J639" t="s">
        <v>22</v>
      </c>
      <c r="K639" s="8">
        <v>1</v>
      </c>
      <c r="L639">
        <v>5</v>
      </c>
      <c r="M639" t="s">
        <v>23</v>
      </c>
      <c r="N639">
        <v>23</v>
      </c>
      <c r="O639" t="s">
        <v>24</v>
      </c>
      <c r="P639" t="s">
        <v>40</v>
      </c>
      <c r="Q639" t="s">
        <v>94</v>
      </c>
      <c r="R639" s="7">
        <v>2.5</v>
      </c>
      <c r="S639" s="7">
        <v>2.5</v>
      </c>
      <c r="T639" t="s">
        <v>125</v>
      </c>
    </row>
    <row r="640" spans="1:20" x14ac:dyDescent="0.3">
      <c r="A640">
        <v>639</v>
      </c>
      <c r="B640" s="1">
        <v>44928</v>
      </c>
      <c r="C640">
        <v>2023</v>
      </c>
      <c r="D640">
        <v>1</v>
      </c>
      <c r="E640" t="s">
        <v>20</v>
      </c>
      <c r="F640">
        <v>2</v>
      </c>
      <c r="G640" t="s">
        <v>124</v>
      </c>
      <c r="H640" s="2">
        <v>46203.518807870372</v>
      </c>
      <c r="I640">
        <v>10</v>
      </c>
      <c r="J640" t="s">
        <v>22</v>
      </c>
      <c r="K640" s="8">
        <v>1</v>
      </c>
      <c r="L640">
        <v>5</v>
      </c>
      <c r="M640" t="s">
        <v>23</v>
      </c>
      <c r="N640">
        <v>25</v>
      </c>
      <c r="O640" t="s">
        <v>24</v>
      </c>
      <c r="P640" t="s">
        <v>82</v>
      </c>
      <c r="Q640" t="s">
        <v>96</v>
      </c>
      <c r="R640" s="7">
        <v>2.2000000000000002</v>
      </c>
      <c r="S640" s="7">
        <v>2.2000000000000002</v>
      </c>
      <c r="T640" t="s">
        <v>125</v>
      </c>
    </row>
    <row r="641" spans="1:20" x14ac:dyDescent="0.3">
      <c r="A641">
        <v>640</v>
      </c>
      <c r="B641" s="1">
        <v>44928</v>
      </c>
      <c r="C641">
        <v>2023</v>
      </c>
      <c r="D641">
        <v>1</v>
      </c>
      <c r="E641" t="s">
        <v>20</v>
      </c>
      <c r="F641">
        <v>2</v>
      </c>
      <c r="G641" t="s">
        <v>124</v>
      </c>
      <c r="H641" s="2">
        <v>46203.519918981481</v>
      </c>
      <c r="I641">
        <v>10</v>
      </c>
      <c r="J641" t="s">
        <v>22</v>
      </c>
      <c r="K641" s="8">
        <v>1</v>
      </c>
      <c r="L641">
        <v>8</v>
      </c>
      <c r="M641" t="s">
        <v>64</v>
      </c>
      <c r="N641">
        <v>42</v>
      </c>
      <c r="O641" t="s">
        <v>30</v>
      </c>
      <c r="P641" t="s">
        <v>65</v>
      </c>
      <c r="Q641" t="s">
        <v>66</v>
      </c>
      <c r="R641" s="7">
        <v>2.5</v>
      </c>
      <c r="S641" s="7">
        <v>2.5</v>
      </c>
      <c r="T641" t="s">
        <v>125</v>
      </c>
    </row>
    <row r="642" spans="1:20" x14ac:dyDescent="0.3">
      <c r="A642">
        <v>641</v>
      </c>
      <c r="B642" s="1">
        <v>44928</v>
      </c>
      <c r="C642">
        <v>2023</v>
      </c>
      <c r="D642">
        <v>1</v>
      </c>
      <c r="E642" t="s">
        <v>20</v>
      </c>
      <c r="F642">
        <v>2</v>
      </c>
      <c r="G642" t="s">
        <v>124</v>
      </c>
      <c r="H642" s="2">
        <v>46203.521284722221</v>
      </c>
      <c r="I642">
        <v>10</v>
      </c>
      <c r="J642" t="s">
        <v>22</v>
      </c>
      <c r="K642" s="8">
        <v>2</v>
      </c>
      <c r="L642">
        <v>8</v>
      </c>
      <c r="M642" t="s">
        <v>64</v>
      </c>
      <c r="N642">
        <v>44</v>
      </c>
      <c r="O642" t="s">
        <v>30</v>
      </c>
      <c r="P642" t="s">
        <v>65</v>
      </c>
      <c r="Q642" t="s">
        <v>92</v>
      </c>
      <c r="R642" s="7">
        <v>2.5</v>
      </c>
      <c r="S642" s="7">
        <v>5</v>
      </c>
      <c r="T642" t="s">
        <v>125</v>
      </c>
    </row>
    <row r="643" spans="1:20" x14ac:dyDescent="0.3">
      <c r="A643">
        <v>642</v>
      </c>
      <c r="B643" s="1">
        <v>44928</v>
      </c>
      <c r="C643">
        <v>2023</v>
      </c>
      <c r="D643">
        <v>1</v>
      </c>
      <c r="E643" t="s">
        <v>20</v>
      </c>
      <c r="F643">
        <v>2</v>
      </c>
      <c r="G643" t="s">
        <v>124</v>
      </c>
      <c r="H643" s="2">
        <v>46203.525208333333</v>
      </c>
      <c r="I643">
        <v>10</v>
      </c>
      <c r="J643" t="s">
        <v>22</v>
      </c>
      <c r="K643" s="8">
        <v>2</v>
      </c>
      <c r="L643">
        <v>8</v>
      </c>
      <c r="M643" t="s">
        <v>64</v>
      </c>
      <c r="N643">
        <v>50</v>
      </c>
      <c r="O643" t="s">
        <v>30</v>
      </c>
      <c r="P643" t="s">
        <v>57</v>
      </c>
      <c r="Q643" t="s">
        <v>108</v>
      </c>
      <c r="R643" s="7">
        <v>2.5</v>
      </c>
      <c r="S643" s="7">
        <v>5</v>
      </c>
      <c r="T643" t="s">
        <v>125</v>
      </c>
    </row>
    <row r="644" spans="1:20" x14ac:dyDescent="0.3">
      <c r="A644">
        <v>643</v>
      </c>
      <c r="B644" s="1">
        <v>44928</v>
      </c>
      <c r="C644">
        <v>2023</v>
      </c>
      <c r="D644">
        <v>1</v>
      </c>
      <c r="E644" t="s">
        <v>20</v>
      </c>
      <c r="F644">
        <v>2</v>
      </c>
      <c r="G644" t="s">
        <v>124</v>
      </c>
      <c r="H644" s="2">
        <v>46203.525509259256</v>
      </c>
      <c r="I644">
        <v>10</v>
      </c>
      <c r="J644" t="s">
        <v>22</v>
      </c>
      <c r="K644" s="8">
        <v>1</v>
      </c>
      <c r="L644">
        <v>5</v>
      </c>
      <c r="M644" t="s">
        <v>23</v>
      </c>
      <c r="N644">
        <v>51</v>
      </c>
      <c r="O644" t="s">
        <v>30</v>
      </c>
      <c r="P644" t="s">
        <v>57</v>
      </c>
      <c r="Q644" t="s">
        <v>58</v>
      </c>
      <c r="R644" s="7">
        <v>3</v>
      </c>
      <c r="S644" s="7">
        <v>3</v>
      </c>
      <c r="T644" t="s">
        <v>125</v>
      </c>
    </row>
    <row r="645" spans="1:20" x14ac:dyDescent="0.3">
      <c r="A645">
        <v>644</v>
      </c>
      <c r="B645" s="1">
        <v>44928</v>
      </c>
      <c r="C645">
        <v>2023</v>
      </c>
      <c r="D645">
        <v>1</v>
      </c>
      <c r="E645" t="s">
        <v>20</v>
      </c>
      <c r="F645">
        <v>2</v>
      </c>
      <c r="G645" t="s">
        <v>124</v>
      </c>
      <c r="H645" s="2">
        <v>46203.527025462965</v>
      </c>
      <c r="I645">
        <v>10</v>
      </c>
      <c r="J645" t="s">
        <v>22</v>
      </c>
      <c r="K645" s="8">
        <v>2</v>
      </c>
      <c r="L645">
        <v>8</v>
      </c>
      <c r="M645" t="s">
        <v>64</v>
      </c>
      <c r="N645">
        <v>51</v>
      </c>
      <c r="O645" t="s">
        <v>30</v>
      </c>
      <c r="P645" t="s">
        <v>57</v>
      </c>
      <c r="Q645" t="s">
        <v>58</v>
      </c>
      <c r="R645" s="7">
        <v>3</v>
      </c>
      <c r="S645" s="7">
        <v>6</v>
      </c>
      <c r="T645" t="s">
        <v>125</v>
      </c>
    </row>
    <row r="646" spans="1:20" x14ac:dyDescent="0.3">
      <c r="A646">
        <v>645</v>
      </c>
      <c r="B646" s="1">
        <v>44928</v>
      </c>
      <c r="C646">
        <v>2023</v>
      </c>
      <c r="D646">
        <v>1</v>
      </c>
      <c r="E646" t="s">
        <v>20</v>
      </c>
      <c r="F646">
        <v>2</v>
      </c>
      <c r="G646" t="s">
        <v>124</v>
      </c>
      <c r="H646" s="2">
        <v>46203.533993055556</v>
      </c>
      <c r="I646">
        <v>10</v>
      </c>
      <c r="J646" t="s">
        <v>22</v>
      </c>
      <c r="K646" s="8">
        <v>1</v>
      </c>
      <c r="L646">
        <v>5</v>
      </c>
      <c r="M646" t="s">
        <v>23</v>
      </c>
      <c r="N646">
        <v>53</v>
      </c>
      <c r="O646" t="s">
        <v>30</v>
      </c>
      <c r="P646" t="s">
        <v>31</v>
      </c>
      <c r="Q646" t="s">
        <v>104</v>
      </c>
      <c r="R646" s="7">
        <v>3</v>
      </c>
      <c r="S646" s="7">
        <v>3</v>
      </c>
      <c r="T646" t="s">
        <v>125</v>
      </c>
    </row>
    <row r="647" spans="1:20" x14ac:dyDescent="0.3">
      <c r="A647">
        <v>646</v>
      </c>
      <c r="B647" s="1">
        <v>44928</v>
      </c>
      <c r="C647">
        <v>2023</v>
      </c>
      <c r="D647">
        <v>1</v>
      </c>
      <c r="E647" t="s">
        <v>20</v>
      </c>
      <c r="F647">
        <v>2</v>
      </c>
      <c r="G647" t="s">
        <v>124</v>
      </c>
      <c r="H647" s="2">
        <v>46203.534699074073</v>
      </c>
      <c r="I647">
        <v>10</v>
      </c>
      <c r="J647" t="s">
        <v>22</v>
      </c>
      <c r="K647" s="8">
        <v>1</v>
      </c>
      <c r="L647">
        <v>8</v>
      </c>
      <c r="M647" t="s">
        <v>64</v>
      </c>
      <c r="N647">
        <v>32</v>
      </c>
      <c r="O647" t="s">
        <v>24</v>
      </c>
      <c r="P647" t="s">
        <v>25</v>
      </c>
      <c r="Q647" t="s">
        <v>26</v>
      </c>
      <c r="R647" s="7">
        <v>3</v>
      </c>
      <c r="S647" s="7">
        <v>3</v>
      </c>
      <c r="T647" t="s">
        <v>125</v>
      </c>
    </row>
    <row r="648" spans="1:20" x14ac:dyDescent="0.3">
      <c r="A648">
        <v>647</v>
      </c>
      <c r="B648" s="1">
        <v>44928</v>
      </c>
      <c r="C648">
        <v>2023</v>
      </c>
      <c r="D648">
        <v>1</v>
      </c>
      <c r="E648" t="s">
        <v>20</v>
      </c>
      <c r="F648">
        <v>2</v>
      </c>
      <c r="G648" t="s">
        <v>124</v>
      </c>
      <c r="H648" s="2">
        <v>46203.538287037038</v>
      </c>
      <c r="I648">
        <v>10</v>
      </c>
      <c r="J648" t="s">
        <v>22</v>
      </c>
      <c r="K648" s="8">
        <v>1</v>
      </c>
      <c r="L648">
        <v>8</v>
      </c>
      <c r="M648" t="s">
        <v>64</v>
      </c>
      <c r="N648">
        <v>55</v>
      </c>
      <c r="O648" t="s">
        <v>30</v>
      </c>
      <c r="P648" t="s">
        <v>31</v>
      </c>
      <c r="Q648" t="s">
        <v>88</v>
      </c>
      <c r="R648" s="7">
        <v>4</v>
      </c>
      <c r="S648" s="7">
        <v>4</v>
      </c>
      <c r="T648" t="s">
        <v>125</v>
      </c>
    </row>
    <row r="649" spans="1:20" x14ac:dyDescent="0.3">
      <c r="A649">
        <v>648</v>
      </c>
      <c r="B649" s="1">
        <v>44928</v>
      </c>
      <c r="C649">
        <v>2023</v>
      </c>
      <c r="D649">
        <v>1</v>
      </c>
      <c r="E649" t="s">
        <v>20</v>
      </c>
      <c r="F649">
        <v>2</v>
      </c>
      <c r="G649" t="s">
        <v>124</v>
      </c>
      <c r="H649" s="2">
        <v>46203.538599537038</v>
      </c>
      <c r="I649">
        <v>10</v>
      </c>
      <c r="J649" t="s">
        <v>22</v>
      </c>
      <c r="K649" s="8">
        <v>1</v>
      </c>
      <c r="L649">
        <v>8</v>
      </c>
      <c r="M649" t="s">
        <v>64</v>
      </c>
      <c r="N649">
        <v>48</v>
      </c>
      <c r="O649" t="s">
        <v>30</v>
      </c>
      <c r="P649" t="s">
        <v>57</v>
      </c>
      <c r="Q649" t="s">
        <v>93</v>
      </c>
      <c r="R649" s="7">
        <v>2.5</v>
      </c>
      <c r="S649" s="7">
        <v>2.5</v>
      </c>
      <c r="T649" t="s">
        <v>125</v>
      </c>
    </row>
    <row r="650" spans="1:20" x14ac:dyDescent="0.3">
      <c r="A650">
        <v>649</v>
      </c>
      <c r="B650" s="1">
        <v>44928</v>
      </c>
      <c r="C650">
        <v>2023</v>
      </c>
      <c r="D650">
        <v>1</v>
      </c>
      <c r="E650" t="s">
        <v>20</v>
      </c>
      <c r="F650">
        <v>2</v>
      </c>
      <c r="G650" t="s">
        <v>124</v>
      </c>
      <c r="H650" s="2">
        <v>46203.541643518518</v>
      </c>
      <c r="I650">
        <v>10</v>
      </c>
      <c r="J650" t="s">
        <v>22</v>
      </c>
      <c r="K650" s="8">
        <v>1</v>
      </c>
      <c r="L650">
        <v>8</v>
      </c>
      <c r="M650" t="s">
        <v>64</v>
      </c>
      <c r="N650">
        <v>32</v>
      </c>
      <c r="O650" t="s">
        <v>24</v>
      </c>
      <c r="P650" t="s">
        <v>25</v>
      </c>
      <c r="Q650" t="s">
        <v>26</v>
      </c>
      <c r="R650" s="7">
        <v>3</v>
      </c>
      <c r="S650" s="7">
        <v>3</v>
      </c>
      <c r="T650" t="s">
        <v>125</v>
      </c>
    </row>
    <row r="651" spans="1:20" x14ac:dyDescent="0.3">
      <c r="A651">
        <v>650</v>
      </c>
      <c r="B651" s="1">
        <v>44928</v>
      </c>
      <c r="C651">
        <v>2023</v>
      </c>
      <c r="D651">
        <v>1</v>
      </c>
      <c r="E651" t="s">
        <v>20</v>
      </c>
      <c r="F651">
        <v>2</v>
      </c>
      <c r="G651" t="s">
        <v>124</v>
      </c>
      <c r="H651" s="2">
        <v>46203.542430555557</v>
      </c>
      <c r="I651">
        <v>11</v>
      </c>
      <c r="J651" t="s">
        <v>22</v>
      </c>
      <c r="K651" s="8">
        <v>2</v>
      </c>
      <c r="L651">
        <v>5</v>
      </c>
      <c r="M651" t="s">
        <v>23</v>
      </c>
      <c r="N651">
        <v>48</v>
      </c>
      <c r="O651" t="s">
        <v>30</v>
      </c>
      <c r="P651" t="s">
        <v>57</v>
      </c>
      <c r="Q651" t="s">
        <v>93</v>
      </c>
      <c r="R651" s="7">
        <v>2.5</v>
      </c>
      <c r="S651" s="7">
        <v>5</v>
      </c>
      <c r="T651" t="s">
        <v>125</v>
      </c>
    </row>
    <row r="652" spans="1:20" x14ac:dyDescent="0.3">
      <c r="A652">
        <v>651</v>
      </c>
      <c r="B652" s="1">
        <v>44928</v>
      </c>
      <c r="C652">
        <v>2023</v>
      </c>
      <c r="D652">
        <v>1</v>
      </c>
      <c r="E652" t="s">
        <v>20</v>
      </c>
      <c r="F652">
        <v>2</v>
      </c>
      <c r="G652" t="s">
        <v>124</v>
      </c>
      <c r="H652" s="2">
        <v>46203.544687499998</v>
      </c>
      <c r="I652">
        <v>11</v>
      </c>
      <c r="J652" t="s">
        <v>22</v>
      </c>
      <c r="K652" s="8">
        <v>1</v>
      </c>
      <c r="L652">
        <v>3</v>
      </c>
      <c r="M652" t="s">
        <v>114</v>
      </c>
      <c r="N652">
        <v>27</v>
      </c>
      <c r="O652" t="s">
        <v>24</v>
      </c>
      <c r="P652" t="s">
        <v>82</v>
      </c>
      <c r="Q652" t="s">
        <v>84</v>
      </c>
      <c r="R652" s="7">
        <v>3.5</v>
      </c>
      <c r="S652" s="7">
        <v>3.5</v>
      </c>
      <c r="T652" t="s">
        <v>125</v>
      </c>
    </row>
    <row r="653" spans="1:20" x14ac:dyDescent="0.3">
      <c r="A653">
        <v>652</v>
      </c>
      <c r="B653" s="1">
        <v>44928</v>
      </c>
      <c r="C653">
        <v>2023</v>
      </c>
      <c r="D653">
        <v>1</v>
      </c>
      <c r="E653" t="s">
        <v>20</v>
      </c>
      <c r="F653">
        <v>2</v>
      </c>
      <c r="G653" t="s">
        <v>124</v>
      </c>
      <c r="H653" s="2">
        <v>46203.544687499998</v>
      </c>
      <c r="I653">
        <v>11</v>
      </c>
      <c r="J653" t="s">
        <v>22</v>
      </c>
      <c r="K653" s="8">
        <v>1</v>
      </c>
      <c r="L653">
        <v>3</v>
      </c>
      <c r="M653" t="s">
        <v>114</v>
      </c>
      <c r="N653">
        <v>70</v>
      </c>
      <c r="O653" t="s">
        <v>43</v>
      </c>
      <c r="P653" t="s">
        <v>44</v>
      </c>
      <c r="Q653" t="s">
        <v>111</v>
      </c>
      <c r="R653" s="7">
        <v>3.25</v>
      </c>
      <c r="S653" s="7">
        <v>3.25</v>
      </c>
      <c r="T653" t="s">
        <v>125</v>
      </c>
    </row>
    <row r="654" spans="1:20" x14ac:dyDescent="0.3">
      <c r="A654">
        <v>653</v>
      </c>
      <c r="B654" s="1">
        <v>44928</v>
      </c>
      <c r="C654">
        <v>2023</v>
      </c>
      <c r="D654">
        <v>1</v>
      </c>
      <c r="E654" t="s">
        <v>20</v>
      </c>
      <c r="F654">
        <v>2</v>
      </c>
      <c r="G654" t="s">
        <v>124</v>
      </c>
      <c r="H654" s="2">
        <v>46203.545949074076</v>
      </c>
      <c r="I654">
        <v>11</v>
      </c>
      <c r="J654" t="s">
        <v>22</v>
      </c>
      <c r="K654" s="8">
        <v>1</v>
      </c>
      <c r="L654">
        <v>3</v>
      </c>
      <c r="M654" t="s">
        <v>114</v>
      </c>
      <c r="N654">
        <v>26</v>
      </c>
      <c r="O654" t="s">
        <v>24</v>
      </c>
      <c r="P654" t="s">
        <v>82</v>
      </c>
      <c r="Q654" t="s">
        <v>83</v>
      </c>
      <c r="R654" s="7">
        <v>3</v>
      </c>
      <c r="S654" s="7">
        <v>3</v>
      </c>
      <c r="T654" t="s">
        <v>125</v>
      </c>
    </row>
    <row r="655" spans="1:20" x14ac:dyDescent="0.3">
      <c r="A655">
        <v>654</v>
      </c>
      <c r="B655" s="1">
        <v>44928</v>
      </c>
      <c r="C655">
        <v>2023</v>
      </c>
      <c r="D655">
        <v>1</v>
      </c>
      <c r="E655" t="s">
        <v>20</v>
      </c>
      <c r="F655">
        <v>2</v>
      </c>
      <c r="G655" t="s">
        <v>124</v>
      </c>
      <c r="H655" s="2">
        <v>46203.545949074076</v>
      </c>
      <c r="I655">
        <v>11</v>
      </c>
      <c r="J655" t="s">
        <v>22</v>
      </c>
      <c r="K655" s="8">
        <v>1</v>
      </c>
      <c r="L655">
        <v>3</v>
      </c>
      <c r="M655" t="s">
        <v>114</v>
      </c>
      <c r="N655">
        <v>77</v>
      </c>
      <c r="O655" t="s">
        <v>43</v>
      </c>
      <c r="P655" t="s">
        <v>44</v>
      </c>
      <c r="Q655" t="s">
        <v>45</v>
      </c>
      <c r="R655" s="7">
        <v>3</v>
      </c>
      <c r="S655" s="7">
        <v>3</v>
      </c>
      <c r="T655" t="s">
        <v>125</v>
      </c>
    </row>
    <row r="656" spans="1:20" x14ac:dyDescent="0.3">
      <c r="A656">
        <v>655</v>
      </c>
      <c r="B656" s="1">
        <v>44928</v>
      </c>
      <c r="C656">
        <v>2023</v>
      </c>
      <c r="D656">
        <v>1</v>
      </c>
      <c r="E656" t="s">
        <v>20</v>
      </c>
      <c r="F656">
        <v>2</v>
      </c>
      <c r="G656" t="s">
        <v>124</v>
      </c>
      <c r="H656" s="2">
        <v>46203.546157407407</v>
      </c>
      <c r="I656">
        <v>11</v>
      </c>
      <c r="J656" t="s">
        <v>22</v>
      </c>
      <c r="K656" s="8">
        <v>1</v>
      </c>
      <c r="L656">
        <v>5</v>
      </c>
      <c r="M656" t="s">
        <v>23</v>
      </c>
      <c r="N656">
        <v>25</v>
      </c>
      <c r="O656" t="s">
        <v>24</v>
      </c>
      <c r="P656" t="s">
        <v>82</v>
      </c>
      <c r="Q656" t="s">
        <v>96</v>
      </c>
      <c r="R656" s="7">
        <v>2.2000000000000002</v>
      </c>
      <c r="S656" s="7">
        <v>2.2000000000000002</v>
      </c>
      <c r="T656" t="s">
        <v>125</v>
      </c>
    </row>
    <row r="657" spans="1:20" x14ac:dyDescent="0.3">
      <c r="A657">
        <v>656</v>
      </c>
      <c r="B657" s="1">
        <v>44928</v>
      </c>
      <c r="C657">
        <v>2023</v>
      </c>
      <c r="D657">
        <v>1</v>
      </c>
      <c r="E657" t="s">
        <v>20</v>
      </c>
      <c r="F657">
        <v>2</v>
      </c>
      <c r="G657" t="s">
        <v>124</v>
      </c>
      <c r="H657" s="2">
        <v>46203.548784722225</v>
      </c>
      <c r="I657">
        <v>11</v>
      </c>
      <c r="J657" t="s">
        <v>22</v>
      </c>
      <c r="K657" s="8">
        <v>2</v>
      </c>
      <c r="L657">
        <v>8</v>
      </c>
      <c r="M657" t="s">
        <v>64</v>
      </c>
      <c r="N657">
        <v>29</v>
      </c>
      <c r="O657" t="s">
        <v>24</v>
      </c>
      <c r="P657" t="s">
        <v>25</v>
      </c>
      <c r="Q657" t="s">
        <v>85</v>
      </c>
      <c r="R657" s="7">
        <v>2.5</v>
      </c>
      <c r="S657" s="7">
        <v>5</v>
      </c>
      <c r="T657" t="s">
        <v>125</v>
      </c>
    </row>
    <row r="658" spans="1:20" x14ac:dyDescent="0.3">
      <c r="A658">
        <v>657</v>
      </c>
      <c r="B658" s="1">
        <v>44928</v>
      </c>
      <c r="C658">
        <v>2023</v>
      </c>
      <c r="D658">
        <v>1</v>
      </c>
      <c r="E658" t="s">
        <v>20</v>
      </c>
      <c r="F658">
        <v>2</v>
      </c>
      <c r="G658" t="s">
        <v>124</v>
      </c>
      <c r="H658" s="2">
        <v>46203.549571759257</v>
      </c>
      <c r="I658">
        <v>11</v>
      </c>
      <c r="J658" t="s">
        <v>22</v>
      </c>
      <c r="K658" s="8">
        <v>2</v>
      </c>
      <c r="L658">
        <v>3</v>
      </c>
      <c r="M658" t="s">
        <v>114</v>
      </c>
      <c r="N658">
        <v>26</v>
      </c>
      <c r="O658" t="s">
        <v>24</v>
      </c>
      <c r="P658" t="s">
        <v>82</v>
      </c>
      <c r="Q658" t="s">
        <v>83</v>
      </c>
      <c r="R658" s="7">
        <v>3</v>
      </c>
      <c r="S658" s="7">
        <v>6</v>
      </c>
      <c r="T658" t="s">
        <v>125</v>
      </c>
    </row>
    <row r="659" spans="1:20" x14ac:dyDescent="0.3">
      <c r="A659">
        <v>658</v>
      </c>
      <c r="B659" s="1">
        <v>44928</v>
      </c>
      <c r="C659">
        <v>2023</v>
      </c>
      <c r="D659">
        <v>1</v>
      </c>
      <c r="E659" t="s">
        <v>20</v>
      </c>
      <c r="F659">
        <v>2</v>
      </c>
      <c r="G659" t="s">
        <v>124</v>
      </c>
      <c r="H659" s="2">
        <v>46203.550057870372</v>
      </c>
      <c r="I659">
        <v>11</v>
      </c>
      <c r="J659" t="s">
        <v>22</v>
      </c>
      <c r="K659" s="8">
        <v>1</v>
      </c>
      <c r="L659">
        <v>8</v>
      </c>
      <c r="M659" t="s">
        <v>64</v>
      </c>
      <c r="N659">
        <v>41</v>
      </c>
      <c r="O659" t="s">
        <v>24</v>
      </c>
      <c r="P659" t="s">
        <v>48</v>
      </c>
      <c r="Q659" t="s">
        <v>105</v>
      </c>
      <c r="R659" s="7">
        <v>4.25</v>
      </c>
      <c r="S659" s="7">
        <v>4.25</v>
      </c>
      <c r="T659" t="s">
        <v>125</v>
      </c>
    </row>
    <row r="660" spans="1:20" x14ac:dyDescent="0.3">
      <c r="A660">
        <v>659</v>
      </c>
      <c r="B660" s="1">
        <v>44928</v>
      </c>
      <c r="C660">
        <v>2023</v>
      </c>
      <c r="D660">
        <v>1</v>
      </c>
      <c r="E660" t="s">
        <v>20</v>
      </c>
      <c r="F660">
        <v>2</v>
      </c>
      <c r="G660" t="s">
        <v>124</v>
      </c>
      <c r="H660" s="2">
        <v>46203.550381944442</v>
      </c>
      <c r="I660">
        <v>11</v>
      </c>
      <c r="J660" t="s">
        <v>22</v>
      </c>
      <c r="K660" s="8">
        <v>1</v>
      </c>
      <c r="L660">
        <v>5</v>
      </c>
      <c r="M660" t="s">
        <v>23</v>
      </c>
      <c r="N660">
        <v>46</v>
      </c>
      <c r="O660" t="s">
        <v>30</v>
      </c>
      <c r="P660" t="s">
        <v>60</v>
      </c>
      <c r="Q660" t="s">
        <v>95</v>
      </c>
      <c r="R660" s="7">
        <v>2.5</v>
      </c>
      <c r="S660" s="7">
        <v>2.5</v>
      </c>
      <c r="T660" t="s">
        <v>125</v>
      </c>
    </row>
    <row r="661" spans="1:20" x14ac:dyDescent="0.3">
      <c r="A661">
        <v>660</v>
      </c>
      <c r="B661" s="1">
        <v>44928</v>
      </c>
      <c r="C661">
        <v>2023</v>
      </c>
      <c r="D661">
        <v>1</v>
      </c>
      <c r="E661" t="s">
        <v>20</v>
      </c>
      <c r="F661">
        <v>2</v>
      </c>
      <c r="G661" t="s">
        <v>124</v>
      </c>
      <c r="H661" s="2">
        <v>46203.550706018519</v>
      </c>
      <c r="I661">
        <v>11</v>
      </c>
      <c r="J661" t="s">
        <v>22</v>
      </c>
      <c r="K661" s="8">
        <v>2</v>
      </c>
      <c r="L661">
        <v>3</v>
      </c>
      <c r="M661" t="s">
        <v>114</v>
      </c>
      <c r="N661">
        <v>22</v>
      </c>
      <c r="O661" t="s">
        <v>24</v>
      </c>
      <c r="P661" t="s">
        <v>40</v>
      </c>
      <c r="Q661" t="s">
        <v>41</v>
      </c>
      <c r="R661" s="7">
        <v>2</v>
      </c>
      <c r="S661" s="7">
        <v>4</v>
      </c>
      <c r="T661" t="s">
        <v>125</v>
      </c>
    </row>
    <row r="662" spans="1:20" x14ac:dyDescent="0.3">
      <c r="A662">
        <v>661</v>
      </c>
      <c r="B662" s="1">
        <v>44928</v>
      </c>
      <c r="C662">
        <v>2023</v>
      </c>
      <c r="D662">
        <v>1</v>
      </c>
      <c r="E662" t="s">
        <v>20</v>
      </c>
      <c r="F662">
        <v>2</v>
      </c>
      <c r="G662" t="s">
        <v>124</v>
      </c>
      <c r="H662" s="2">
        <v>46203.551122685189</v>
      </c>
      <c r="I662">
        <v>11</v>
      </c>
      <c r="J662" t="s">
        <v>22</v>
      </c>
      <c r="K662" s="8">
        <v>1</v>
      </c>
      <c r="L662">
        <v>8</v>
      </c>
      <c r="M662" t="s">
        <v>64</v>
      </c>
      <c r="N662">
        <v>50</v>
      </c>
      <c r="O662" t="s">
        <v>30</v>
      </c>
      <c r="P662" t="s">
        <v>57</v>
      </c>
      <c r="Q662" t="s">
        <v>108</v>
      </c>
      <c r="R662" s="7">
        <v>2.5</v>
      </c>
      <c r="S662" s="7">
        <v>2.5</v>
      </c>
      <c r="T662" t="s">
        <v>125</v>
      </c>
    </row>
    <row r="663" spans="1:20" x14ac:dyDescent="0.3">
      <c r="A663">
        <v>662</v>
      </c>
      <c r="B663" s="1">
        <v>44928</v>
      </c>
      <c r="C663">
        <v>2023</v>
      </c>
      <c r="D663">
        <v>1</v>
      </c>
      <c r="E663" t="s">
        <v>20</v>
      </c>
      <c r="F663">
        <v>2</v>
      </c>
      <c r="G663" t="s">
        <v>124</v>
      </c>
      <c r="H663" s="2">
        <v>46203.551562499997</v>
      </c>
      <c r="I663">
        <v>11</v>
      </c>
      <c r="J663" t="s">
        <v>22</v>
      </c>
      <c r="K663" s="8">
        <v>2</v>
      </c>
      <c r="L663">
        <v>3</v>
      </c>
      <c r="M663" t="s">
        <v>114</v>
      </c>
      <c r="N663">
        <v>32</v>
      </c>
      <c r="O663" t="s">
        <v>24</v>
      </c>
      <c r="P663" t="s">
        <v>25</v>
      </c>
      <c r="Q663" t="s">
        <v>26</v>
      </c>
      <c r="R663" s="7">
        <v>3</v>
      </c>
      <c r="S663" s="7">
        <v>6</v>
      </c>
      <c r="T663" t="s">
        <v>125</v>
      </c>
    </row>
    <row r="664" spans="1:20" x14ac:dyDescent="0.3">
      <c r="A664">
        <v>663</v>
      </c>
      <c r="B664" s="1">
        <v>44928</v>
      </c>
      <c r="C664">
        <v>2023</v>
      </c>
      <c r="D664">
        <v>1</v>
      </c>
      <c r="E664" t="s">
        <v>20</v>
      </c>
      <c r="F664">
        <v>2</v>
      </c>
      <c r="G664" t="s">
        <v>124</v>
      </c>
      <c r="H664" s="2">
        <v>46203.552222222221</v>
      </c>
      <c r="I664">
        <v>11</v>
      </c>
      <c r="J664" t="s">
        <v>22</v>
      </c>
      <c r="K664" s="8">
        <v>1</v>
      </c>
      <c r="L664">
        <v>3</v>
      </c>
      <c r="M664" t="s">
        <v>114</v>
      </c>
      <c r="N664">
        <v>40</v>
      </c>
      <c r="O664" t="s">
        <v>24</v>
      </c>
      <c r="P664" t="s">
        <v>48</v>
      </c>
      <c r="Q664" t="s">
        <v>74</v>
      </c>
      <c r="R664" s="7">
        <v>3.75</v>
      </c>
      <c r="S664" s="7">
        <v>3.75</v>
      </c>
      <c r="T664" t="s">
        <v>125</v>
      </c>
    </row>
    <row r="665" spans="1:20" x14ac:dyDescent="0.3">
      <c r="A665">
        <v>664</v>
      </c>
      <c r="B665" s="1">
        <v>44928</v>
      </c>
      <c r="C665">
        <v>2023</v>
      </c>
      <c r="D665">
        <v>1</v>
      </c>
      <c r="E665" t="s">
        <v>20</v>
      </c>
      <c r="F665">
        <v>2</v>
      </c>
      <c r="G665" t="s">
        <v>124</v>
      </c>
      <c r="H665" s="2">
        <v>46203.552407407406</v>
      </c>
      <c r="I665">
        <v>11</v>
      </c>
      <c r="J665" t="s">
        <v>22</v>
      </c>
      <c r="K665" s="8">
        <v>1</v>
      </c>
      <c r="L665">
        <v>3</v>
      </c>
      <c r="M665" t="s">
        <v>114</v>
      </c>
      <c r="N665">
        <v>30</v>
      </c>
      <c r="O665" t="s">
        <v>24</v>
      </c>
      <c r="P665" t="s">
        <v>25</v>
      </c>
      <c r="Q665" t="s">
        <v>119</v>
      </c>
      <c r="R665" s="7">
        <v>3</v>
      </c>
      <c r="S665" s="7">
        <v>3</v>
      </c>
      <c r="T665" t="s">
        <v>125</v>
      </c>
    </row>
    <row r="666" spans="1:20" x14ac:dyDescent="0.3">
      <c r="A666">
        <v>665</v>
      </c>
      <c r="B666" s="1">
        <v>44928</v>
      </c>
      <c r="C666">
        <v>2023</v>
      </c>
      <c r="D666">
        <v>1</v>
      </c>
      <c r="E666" t="s">
        <v>20</v>
      </c>
      <c r="F666">
        <v>2</v>
      </c>
      <c r="G666" t="s">
        <v>124</v>
      </c>
      <c r="H666" s="2">
        <v>46203.552546296298</v>
      </c>
      <c r="I666">
        <v>11</v>
      </c>
      <c r="J666" t="s">
        <v>22</v>
      </c>
      <c r="K666" s="8">
        <v>1</v>
      </c>
      <c r="L666">
        <v>3</v>
      </c>
      <c r="M666" t="s">
        <v>114</v>
      </c>
      <c r="N666">
        <v>42</v>
      </c>
      <c r="O666" t="s">
        <v>30</v>
      </c>
      <c r="P666" t="s">
        <v>65</v>
      </c>
      <c r="Q666" t="s">
        <v>66</v>
      </c>
      <c r="R666" s="7">
        <v>2.5</v>
      </c>
      <c r="S666" s="7">
        <v>2.5</v>
      </c>
      <c r="T666" t="s">
        <v>125</v>
      </c>
    </row>
    <row r="667" spans="1:20" x14ac:dyDescent="0.3">
      <c r="A667">
        <v>666</v>
      </c>
      <c r="B667" s="1">
        <v>44928</v>
      </c>
      <c r="C667">
        <v>2023</v>
      </c>
      <c r="D667">
        <v>1</v>
      </c>
      <c r="E667" t="s">
        <v>20</v>
      </c>
      <c r="F667">
        <v>2</v>
      </c>
      <c r="G667" t="s">
        <v>124</v>
      </c>
      <c r="H667" s="2">
        <v>46203.553368055553</v>
      </c>
      <c r="I667">
        <v>11</v>
      </c>
      <c r="J667" t="s">
        <v>22</v>
      </c>
      <c r="K667" s="8">
        <v>2</v>
      </c>
      <c r="L667">
        <v>3</v>
      </c>
      <c r="M667" t="s">
        <v>114</v>
      </c>
      <c r="N667">
        <v>31</v>
      </c>
      <c r="O667" t="s">
        <v>24</v>
      </c>
      <c r="P667" t="s">
        <v>25</v>
      </c>
      <c r="Q667" t="s">
        <v>116</v>
      </c>
      <c r="R667" s="7">
        <v>2.2000000000000002</v>
      </c>
      <c r="S667" s="7">
        <v>4.4000000000000004</v>
      </c>
      <c r="T667" t="s">
        <v>125</v>
      </c>
    </row>
    <row r="668" spans="1:20" x14ac:dyDescent="0.3">
      <c r="A668">
        <v>667</v>
      </c>
      <c r="B668" s="1">
        <v>44928</v>
      </c>
      <c r="C668">
        <v>2023</v>
      </c>
      <c r="D668">
        <v>1</v>
      </c>
      <c r="E668" t="s">
        <v>20</v>
      </c>
      <c r="F668">
        <v>2</v>
      </c>
      <c r="G668" t="s">
        <v>124</v>
      </c>
      <c r="H668" s="2">
        <v>46203.553368055553</v>
      </c>
      <c r="I668">
        <v>11</v>
      </c>
      <c r="J668" t="s">
        <v>22</v>
      </c>
      <c r="K668" s="8">
        <v>1</v>
      </c>
      <c r="L668">
        <v>3</v>
      </c>
      <c r="M668" t="s">
        <v>114</v>
      </c>
      <c r="N668">
        <v>75</v>
      </c>
      <c r="O668" t="s">
        <v>43</v>
      </c>
      <c r="P668" t="s">
        <v>78</v>
      </c>
      <c r="Q668" t="s">
        <v>115</v>
      </c>
      <c r="R668" s="7">
        <v>3.5</v>
      </c>
      <c r="S668" s="7">
        <v>3.5</v>
      </c>
      <c r="T668" t="s">
        <v>125</v>
      </c>
    </row>
    <row r="669" spans="1:20" x14ac:dyDescent="0.3">
      <c r="A669">
        <v>668</v>
      </c>
      <c r="B669" s="1">
        <v>44928</v>
      </c>
      <c r="C669">
        <v>2023</v>
      </c>
      <c r="D669">
        <v>1</v>
      </c>
      <c r="E669" t="s">
        <v>20</v>
      </c>
      <c r="F669">
        <v>2</v>
      </c>
      <c r="G669" t="s">
        <v>124</v>
      </c>
      <c r="H669" s="2">
        <v>46203.554305555554</v>
      </c>
      <c r="I669">
        <v>11</v>
      </c>
      <c r="J669" t="s">
        <v>22</v>
      </c>
      <c r="K669" s="8">
        <v>2</v>
      </c>
      <c r="L669">
        <v>3</v>
      </c>
      <c r="M669" t="s">
        <v>114</v>
      </c>
      <c r="N669">
        <v>36</v>
      </c>
      <c r="O669" t="s">
        <v>24</v>
      </c>
      <c r="P669" t="s">
        <v>99</v>
      </c>
      <c r="Q669" t="s">
        <v>102</v>
      </c>
      <c r="R669" s="7">
        <v>3.75</v>
      </c>
      <c r="S669" s="7">
        <v>7.5</v>
      </c>
      <c r="T669" t="s">
        <v>125</v>
      </c>
    </row>
    <row r="670" spans="1:20" x14ac:dyDescent="0.3">
      <c r="A670">
        <v>669</v>
      </c>
      <c r="B670" s="1">
        <v>44928</v>
      </c>
      <c r="C670">
        <v>2023</v>
      </c>
      <c r="D670">
        <v>1</v>
      </c>
      <c r="E670" t="s">
        <v>20</v>
      </c>
      <c r="F670">
        <v>2</v>
      </c>
      <c r="G670" t="s">
        <v>124</v>
      </c>
      <c r="H670" s="2">
        <v>46203.554456018515</v>
      </c>
      <c r="I670">
        <v>11</v>
      </c>
      <c r="J670" t="s">
        <v>22</v>
      </c>
      <c r="K670" s="8">
        <v>2</v>
      </c>
      <c r="L670">
        <v>3</v>
      </c>
      <c r="M670" t="s">
        <v>114</v>
      </c>
      <c r="N670">
        <v>52</v>
      </c>
      <c r="O670" t="s">
        <v>30</v>
      </c>
      <c r="P670" t="s">
        <v>31</v>
      </c>
      <c r="Q670" t="s">
        <v>118</v>
      </c>
      <c r="R670" s="7">
        <v>2.5</v>
      </c>
      <c r="S670" s="7">
        <v>5</v>
      </c>
      <c r="T670" t="s">
        <v>125</v>
      </c>
    </row>
    <row r="671" spans="1:20" x14ac:dyDescent="0.3">
      <c r="A671">
        <v>670</v>
      </c>
      <c r="B671" s="1">
        <v>44928</v>
      </c>
      <c r="C671">
        <v>2023</v>
      </c>
      <c r="D671">
        <v>1</v>
      </c>
      <c r="E671" t="s">
        <v>20</v>
      </c>
      <c r="F671">
        <v>2</v>
      </c>
      <c r="G671" t="s">
        <v>124</v>
      </c>
      <c r="H671" s="2">
        <v>46203.555</v>
      </c>
      <c r="I671">
        <v>11</v>
      </c>
      <c r="J671" t="s">
        <v>22</v>
      </c>
      <c r="K671" s="8">
        <v>2</v>
      </c>
      <c r="L671">
        <v>3</v>
      </c>
      <c r="M671" t="s">
        <v>114</v>
      </c>
      <c r="N671">
        <v>30</v>
      </c>
      <c r="O671" t="s">
        <v>24</v>
      </c>
      <c r="P671" t="s">
        <v>25</v>
      </c>
      <c r="Q671" t="s">
        <v>119</v>
      </c>
      <c r="R671" s="7">
        <v>3</v>
      </c>
      <c r="S671" s="7">
        <v>6</v>
      </c>
      <c r="T671" t="s">
        <v>125</v>
      </c>
    </row>
    <row r="672" spans="1:20" x14ac:dyDescent="0.3">
      <c r="A672">
        <v>671</v>
      </c>
      <c r="B672" s="1">
        <v>44928</v>
      </c>
      <c r="C672">
        <v>2023</v>
      </c>
      <c r="D672">
        <v>1</v>
      </c>
      <c r="E672" t="s">
        <v>20</v>
      </c>
      <c r="F672">
        <v>2</v>
      </c>
      <c r="G672" t="s">
        <v>124</v>
      </c>
      <c r="H672" s="2">
        <v>46203.555347222224</v>
      </c>
      <c r="I672">
        <v>11</v>
      </c>
      <c r="J672" t="s">
        <v>22</v>
      </c>
      <c r="K672" s="8">
        <v>1</v>
      </c>
      <c r="L672">
        <v>8</v>
      </c>
      <c r="M672" t="s">
        <v>64</v>
      </c>
      <c r="N672">
        <v>35</v>
      </c>
      <c r="O672" t="s">
        <v>24</v>
      </c>
      <c r="P672" t="s">
        <v>99</v>
      </c>
      <c r="Q672" t="s">
        <v>110</v>
      </c>
      <c r="R672" s="7">
        <v>3.1</v>
      </c>
      <c r="S672" s="7">
        <v>3.1</v>
      </c>
      <c r="T672" t="s">
        <v>125</v>
      </c>
    </row>
    <row r="673" spans="1:20" x14ac:dyDescent="0.3">
      <c r="A673">
        <v>672</v>
      </c>
      <c r="B673" s="1">
        <v>44928</v>
      </c>
      <c r="C673">
        <v>2023</v>
      </c>
      <c r="D673">
        <v>1</v>
      </c>
      <c r="E673" t="s">
        <v>20</v>
      </c>
      <c r="F673">
        <v>2</v>
      </c>
      <c r="G673" t="s">
        <v>124</v>
      </c>
      <c r="H673" s="2">
        <v>46203.556747685187</v>
      </c>
      <c r="I673">
        <v>11</v>
      </c>
      <c r="J673" t="s">
        <v>22</v>
      </c>
      <c r="K673" s="8">
        <v>2</v>
      </c>
      <c r="L673">
        <v>3</v>
      </c>
      <c r="M673" t="s">
        <v>114</v>
      </c>
      <c r="N673">
        <v>29</v>
      </c>
      <c r="O673" t="s">
        <v>24</v>
      </c>
      <c r="P673" t="s">
        <v>25</v>
      </c>
      <c r="Q673" t="s">
        <v>85</v>
      </c>
      <c r="R673" s="7">
        <v>2.5</v>
      </c>
      <c r="S673" s="7">
        <v>5</v>
      </c>
      <c r="T673" t="s">
        <v>125</v>
      </c>
    </row>
    <row r="674" spans="1:20" x14ac:dyDescent="0.3">
      <c r="A674">
        <v>673</v>
      </c>
      <c r="B674" s="1">
        <v>44928</v>
      </c>
      <c r="C674">
        <v>2023</v>
      </c>
      <c r="D674">
        <v>1</v>
      </c>
      <c r="E674" t="s">
        <v>20</v>
      </c>
      <c r="F674">
        <v>2</v>
      </c>
      <c r="G674" t="s">
        <v>124</v>
      </c>
      <c r="H674" s="2">
        <v>46203.556817129633</v>
      </c>
      <c r="I674">
        <v>11</v>
      </c>
      <c r="J674" t="s">
        <v>22</v>
      </c>
      <c r="K674" s="8">
        <v>2</v>
      </c>
      <c r="L674">
        <v>3</v>
      </c>
      <c r="M674" t="s">
        <v>114</v>
      </c>
      <c r="N674">
        <v>38</v>
      </c>
      <c r="O674" t="s">
        <v>24</v>
      </c>
      <c r="P674" t="s">
        <v>48</v>
      </c>
      <c r="Q674" t="s">
        <v>81</v>
      </c>
      <c r="R674" s="7">
        <v>3.75</v>
      </c>
      <c r="S674" s="7">
        <v>7.5</v>
      </c>
      <c r="T674" t="s">
        <v>125</v>
      </c>
    </row>
    <row r="675" spans="1:20" x14ac:dyDescent="0.3">
      <c r="A675">
        <v>674</v>
      </c>
      <c r="B675" s="1">
        <v>44928</v>
      </c>
      <c r="C675">
        <v>2023</v>
      </c>
      <c r="D675">
        <v>1</v>
      </c>
      <c r="E675" t="s">
        <v>20</v>
      </c>
      <c r="F675">
        <v>2</v>
      </c>
      <c r="G675" t="s">
        <v>124</v>
      </c>
      <c r="H675" s="2">
        <v>46203.557476851849</v>
      </c>
      <c r="I675">
        <v>11</v>
      </c>
      <c r="J675" t="s">
        <v>22</v>
      </c>
      <c r="K675" s="8">
        <v>1</v>
      </c>
      <c r="L675">
        <v>3</v>
      </c>
      <c r="M675" t="s">
        <v>114</v>
      </c>
      <c r="N675">
        <v>53</v>
      </c>
      <c r="O675" t="s">
        <v>30</v>
      </c>
      <c r="P675" t="s">
        <v>31</v>
      </c>
      <c r="Q675" t="s">
        <v>104</v>
      </c>
      <c r="R675" s="7">
        <v>3</v>
      </c>
      <c r="S675" s="7">
        <v>3</v>
      </c>
      <c r="T675" t="s">
        <v>125</v>
      </c>
    </row>
    <row r="676" spans="1:20" x14ac:dyDescent="0.3">
      <c r="A676">
        <v>675</v>
      </c>
      <c r="B676" s="1">
        <v>44928</v>
      </c>
      <c r="C676">
        <v>2023</v>
      </c>
      <c r="D676">
        <v>1</v>
      </c>
      <c r="E676" t="s">
        <v>20</v>
      </c>
      <c r="F676">
        <v>2</v>
      </c>
      <c r="G676" t="s">
        <v>124</v>
      </c>
      <c r="H676" s="2">
        <v>46203.559259259258</v>
      </c>
      <c r="I676">
        <v>11</v>
      </c>
      <c r="J676" t="s">
        <v>22</v>
      </c>
      <c r="K676" s="8">
        <v>2</v>
      </c>
      <c r="L676">
        <v>5</v>
      </c>
      <c r="M676" t="s">
        <v>23</v>
      </c>
      <c r="N676">
        <v>54</v>
      </c>
      <c r="O676" t="s">
        <v>30</v>
      </c>
      <c r="P676" t="s">
        <v>31</v>
      </c>
      <c r="Q676" t="s">
        <v>87</v>
      </c>
      <c r="R676" s="7">
        <v>2.5</v>
      </c>
      <c r="S676" s="7">
        <v>5</v>
      </c>
      <c r="T676" t="s">
        <v>125</v>
      </c>
    </row>
    <row r="677" spans="1:20" x14ac:dyDescent="0.3">
      <c r="A677">
        <v>676</v>
      </c>
      <c r="B677" s="1">
        <v>44928</v>
      </c>
      <c r="C677">
        <v>2023</v>
      </c>
      <c r="D677">
        <v>1</v>
      </c>
      <c r="E677" t="s">
        <v>20</v>
      </c>
      <c r="F677">
        <v>2</v>
      </c>
      <c r="G677" t="s">
        <v>124</v>
      </c>
      <c r="H677" s="2">
        <v>46203.56082175926</v>
      </c>
      <c r="I677">
        <v>11</v>
      </c>
      <c r="J677" t="s">
        <v>22</v>
      </c>
      <c r="K677" s="8">
        <v>2</v>
      </c>
      <c r="L677">
        <v>5</v>
      </c>
      <c r="M677" t="s">
        <v>23</v>
      </c>
      <c r="N677">
        <v>48</v>
      </c>
      <c r="O677" t="s">
        <v>30</v>
      </c>
      <c r="P677" t="s">
        <v>57</v>
      </c>
      <c r="Q677" t="s">
        <v>93</v>
      </c>
      <c r="R677" s="7">
        <v>2.5</v>
      </c>
      <c r="S677" s="7">
        <v>5</v>
      </c>
      <c r="T677" t="s">
        <v>125</v>
      </c>
    </row>
    <row r="678" spans="1:20" x14ac:dyDescent="0.3">
      <c r="A678">
        <v>677</v>
      </c>
      <c r="B678" s="1">
        <v>44928</v>
      </c>
      <c r="C678">
        <v>2023</v>
      </c>
      <c r="D678">
        <v>1</v>
      </c>
      <c r="E678" t="s">
        <v>20</v>
      </c>
      <c r="F678">
        <v>2</v>
      </c>
      <c r="G678" t="s">
        <v>124</v>
      </c>
      <c r="H678" s="2">
        <v>46203.564016203702</v>
      </c>
      <c r="I678">
        <v>11</v>
      </c>
      <c r="J678" t="s">
        <v>22</v>
      </c>
      <c r="K678" s="8">
        <v>2</v>
      </c>
      <c r="L678">
        <v>8</v>
      </c>
      <c r="M678" t="s">
        <v>64</v>
      </c>
      <c r="N678">
        <v>47</v>
      </c>
      <c r="O678" t="s">
        <v>30</v>
      </c>
      <c r="P678" t="s">
        <v>60</v>
      </c>
      <c r="Q678" t="s">
        <v>61</v>
      </c>
      <c r="R678" s="7">
        <v>3</v>
      </c>
      <c r="S678" s="7">
        <v>6</v>
      </c>
      <c r="T678" t="s">
        <v>125</v>
      </c>
    </row>
    <row r="679" spans="1:20" x14ac:dyDescent="0.3">
      <c r="A679">
        <v>678</v>
      </c>
      <c r="B679" s="1">
        <v>44928</v>
      </c>
      <c r="C679">
        <v>2023</v>
      </c>
      <c r="D679">
        <v>1</v>
      </c>
      <c r="E679" t="s">
        <v>20</v>
      </c>
      <c r="F679">
        <v>2</v>
      </c>
      <c r="G679" t="s">
        <v>124</v>
      </c>
      <c r="H679" s="2">
        <v>46203.565787037034</v>
      </c>
      <c r="I679">
        <v>11</v>
      </c>
      <c r="J679" t="s">
        <v>22</v>
      </c>
      <c r="K679" s="8">
        <v>1</v>
      </c>
      <c r="L679">
        <v>8</v>
      </c>
      <c r="M679" t="s">
        <v>64</v>
      </c>
      <c r="N679">
        <v>43</v>
      </c>
      <c r="O679" t="s">
        <v>30</v>
      </c>
      <c r="P679" t="s">
        <v>65</v>
      </c>
      <c r="Q679" t="s">
        <v>75</v>
      </c>
      <c r="R679" s="7">
        <v>3</v>
      </c>
      <c r="S679" s="7">
        <v>3</v>
      </c>
      <c r="T679" t="s">
        <v>125</v>
      </c>
    </row>
    <row r="680" spans="1:20" x14ac:dyDescent="0.3">
      <c r="A680">
        <v>679</v>
      </c>
      <c r="B680" s="1">
        <v>44928</v>
      </c>
      <c r="C680">
        <v>2023</v>
      </c>
      <c r="D680">
        <v>1</v>
      </c>
      <c r="E680" t="s">
        <v>20</v>
      </c>
      <c r="F680">
        <v>2</v>
      </c>
      <c r="G680" t="s">
        <v>124</v>
      </c>
      <c r="H680" s="2">
        <v>46203.565995370373</v>
      </c>
      <c r="I680">
        <v>11</v>
      </c>
      <c r="J680" t="s">
        <v>22</v>
      </c>
      <c r="K680" s="8">
        <v>1</v>
      </c>
      <c r="L680">
        <v>3</v>
      </c>
      <c r="M680" t="s">
        <v>114</v>
      </c>
      <c r="N680">
        <v>49</v>
      </c>
      <c r="O680" t="s">
        <v>30</v>
      </c>
      <c r="P680" t="s">
        <v>57</v>
      </c>
      <c r="Q680" t="s">
        <v>117</v>
      </c>
      <c r="R680" s="7">
        <v>3</v>
      </c>
      <c r="S680" s="7">
        <v>3</v>
      </c>
      <c r="T680" t="s">
        <v>125</v>
      </c>
    </row>
    <row r="681" spans="1:20" x14ac:dyDescent="0.3">
      <c r="A681">
        <v>680</v>
      </c>
      <c r="B681" s="1">
        <v>44928</v>
      </c>
      <c r="C681">
        <v>2023</v>
      </c>
      <c r="D681">
        <v>1</v>
      </c>
      <c r="E681" t="s">
        <v>20</v>
      </c>
      <c r="F681">
        <v>2</v>
      </c>
      <c r="G681" t="s">
        <v>124</v>
      </c>
      <c r="H681" s="2">
        <v>46203.565995370373</v>
      </c>
      <c r="I681">
        <v>11</v>
      </c>
      <c r="J681" t="s">
        <v>22</v>
      </c>
      <c r="K681" s="8">
        <v>1</v>
      </c>
      <c r="L681">
        <v>3</v>
      </c>
      <c r="M681" t="s">
        <v>114</v>
      </c>
      <c r="N681">
        <v>79</v>
      </c>
      <c r="O681" t="s">
        <v>43</v>
      </c>
      <c r="P681" t="s">
        <v>44</v>
      </c>
      <c r="Q681" t="s">
        <v>62</v>
      </c>
      <c r="R681" s="7">
        <v>3.75</v>
      </c>
      <c r="S681" s="7">
        <v>3.75</v>
      </c>
      <c r="T681" t="s">
        <v>125</v>
      </c>
    </row>
    <row r="682" spans="1:20" x14ac:dyDescent="0.3">
      <c r="A682">
        <v>681</v>
      </c>
      <c r="B682" s="1">
        <v>44928</v>
      </c>
      <c r="C682">
        <v>2023</v>
      </c>
      <c r="D682">
        <v>1</v>
      </c>
      <c r="E682" t="s">
        <v>20</v>
      </c>
      <c r="F682">
        <v>2</v>
      </c>
      <c r="G682" t="s">
        <v>124</v>
      </c>
      <c r="H682" s="2">
        <v>46203.566134259258</v>
      </c>
      <c r="I682">
        <v>11</v>
      </c>
      <c r="J682" t="s">
        <v>22</v>
      </c>
      <c r="K682" s="8">
        <v>2</v>
      </c>
      <c r="L682">
        <v>3</v>
      </c>
      <c r="M682" t="s">
        <v>114</v>
      </c>
      <c r="N682">
        <v>25</v>
      </c>
      <c r="O682" t="s">
        <v>24</v>
      </c>
      <c r="P682" t="s">
        <v>82</v>
      </c>
      <c r="Q682" t="s">
        <v>96</v>
      </c>
      <c r="R682" s="7">
        <v>2.2000000000000002</v>
      </c>
      <c r="S682" s="7">
        <v>4.4000000000000004</v>
      </c>
      <c r="T682" t="s">
        <v>125</v>
      </c>
    </row>
    <row r="683" spans="1:20" x14ac:dyDescent="0.3">
      <c r="A683">
        <v>682</v>
      </c>
      <c r="B683" s="1">
        <v>44928</v>
      </c>
      <c r="C683">
        <v>2023</v>
      </c>
      <c r="D683">
        <v>1</v>
      </c>
      <c r="E683" t="s">
        <v>20</v>
      </c>
      <c r="F683">
        <v>2</v>
      </c>
      <c r="G683" t="s">
        <v>124</v>
      </c>
      <c r="H683" s="2">
        <v>46203.566134259258</v>
      </c>
      <c r="I683">
        <v>11</v>
      </c>
      <c r="J683" t="s">
        <v>22</v>
      </c>
      <c r="K683" s="8">
        <v>1</v>
      </c>
      <c r="L683">
        <v>3</v>
      </c>
      <c r="M683" t="s">
        <v>114</v>
      </c>
      <c r="N683">
        <v>69</v>
      </c>
      <c r="O683" t="s">
        <v>43</v>
      </c>
      <c r="P683" t="s">
        <v>71</v>
      </c>
      <c r="Q683" t="s">
        <v>72</v>
      </c>
      <c r="R683" s="7">
        <v>3.25</v>
      </c>
      <c r="S683" s="7">
        <v>3.25</v>
      </c>
      <c r="T683" t="s">
        <v>125</v>
      </c>
    </row>
    <row r="684" spans="1:20" x14ac:dyDescent="0.3">
      <c r="A684">
        <v>683</v>
      </c>
      <c r="B684" s="1">
        <v>44928</v>
      </c>
      <c r="C684">
        <v>2023</v>
      </c>
      <c r="D684">
        <v>1</v>
      </c>
      <c r="E684" t="s">
        <v>20</v>
      </c>
      <c r="F684">
        <v>2</v>
      </c>
      <c r="G684" t="s">
        <v>124</v>
      </c>
      <c r="H684" s="2">
        <v>46203.567245370374</v>
      </c>
      <c r="I684">
        <v>11</v>
      </c>
      <c r="J684" t="s">
        <v>22</v>
      </c>
      <c r="K684" s="8">
        <v>2</v>
      </c>
      <c r="L684">
        <v>5</v>
      </c>
      <c r="M684" t="s">
        <v>23</v>
      </c>
      <c r="N684">
        <v>58</v>
      </c>
      <c r="O684" t="s">
        <v>35</v>
      </c>
      <c r="P684" t="s">
        <v>36</v>
      </c>
      <c r="Q684" t="s">
        <v>51</v>
      </c>
      <c r="R684" s="7">
        <v>3.5</v>
      </c>
      <c r="S684" s="7">
        <v>7</v>
      </c>
      <c r="T684" t="s">
        <v>125</v>
      </c>
    </row>
    <row r="685" spans="1:20" x14ac:dyDescent="0.3">
      <c r="A685">
        <v>684</v>
      </c>
      <c r="B685" s="1">
        <v>44928</v>
      </c>
      <c r="C685">
        <v>2023</v>
      </c>
      <c r="D685">
        <v>1</v>
      </c>
      <c r="E685" t="s">
        <v>20</v>
      </c>
      <c r="F685">
        <v>2</v>
      </c>
      <c r="G685" t="s">
        <v>124</v>
      </c>
      <c r="H685" s="2">
        <v>46203.56832175926</v>
      </c>
      <c r="I685">
        <v>11</v>
      </c>
      <c r="J685" t="s">
        <v>22</v>
      </c>
      <c r="K685" s="8">
        <v>2</v>
      </c>
      <c r="L685">
        <v>3</v>
      </c>
      <c r="M685" t="s">
        <v>114</v>
      </c>
      <c r="N685">
        <v>24</v>
      </c>
      <c r="O685" t="s">
        <v>24</v>
      </c>
      <c r="P685" t="s">
        <v>40</v>
      </c>
      <c r="Q685" t="s">
        <v>89</v>
      </c>
      <c r="R685" s="7">
        <v>3</v>
      </c>
      <c r="S685" s="7">
        <v>6</v>
      </c>
      <c r="T685" t="s">
        <v>125</v>
      </c>
    </row>
    <row r="686" spans="1:20" x14ac:dyDescent="0.3">
      <c r="A686">
        <v>685</v>
      </c>
      <c r="B686" s="1">
        <v>44928</v>
      </c>
      <c r="C686">
        <v>2023</v>
      </c>
      <c r="D686">
        <v>1</v>
      </c>
      <c r="E686" t="s">
        <v>20</v>
      </c>
      <c r="F686">
        <v>2</v>
      </c>
      <c r="G686" t="s">
        <v>124</v>
      </c>
      <c r="H686" s="2">
        <v>46203.568877314814</v>
      </c>
      <c r="I686">
        <v>11</v>
      </c>
      <c r="J686" t="s">
        <v>22</v>
      </c>
      <c r="K686" s="8">
        <v>2</v>
      </c>
      <c r="L686">
        <v>5</v>
      </c>
      <c r="M686" t="s">
        <v>23</v>
      </c>
      <c r="N686">
        <v>42</v>
      </c>
      <c r="O686" t="s">
        <v>30</v>
      </c>
      <c r="P686" t="s">
        <v>65</v>
      </c>
      <c r="Q686" t="s">
        <v>66</v>
      </c>
      <c r="R686" s="7">
        <v>2.5</v>
      </c>
      <c r="S686" s="7">
        <v>5</v>
      </c>
      <c r="T686" t="s">
        <v>125</v>
      </c>
    </row>
    <row r="687" spans="1:20" x14ac:dyDescent="0.3">
      <c r="A687">
        <v>686</v>
      </c>
      <c r="B687" s="1">
        <v>44928</v>
      </c>
      <c r="C687">
        <v>2023</v>
      </c>
      <c r="D687">
        <v>1</v>
      </c>
      <c r="E687" t="s">
        <v>20</v>
      </c>
      <c r="F687">
        <v>2</v>
      </c>
      <c r="G687" t="s">
        <v>124</v>
      </c>
      <c r="H687" s="2">
        <v>46203.568877314814</v>
      </c>
      <c r="I687">
        <v>11</v>
      </c>
      <c r="J687" t="s">
        <v>22</v>
      </c>
      <c r="K687" s="8">
        <v>1</v>
      </c>
      <c r="L687">
        <v>5</v>
      </c>
      <c r="M687" t="s">
        <v>23</v>
      </c>
      <c r="N687">
        <v>74</v>
      </c>
      <c r="O687" t="s">
        <v>43</v>
      </c>
      <c r="P687" t="s">
        <v>71</v>
      </c>
      <c r="Q687" t="s">
        <v>103</v>
      </c>
      <c r="R687" s="7">
        <v>3.5</v>
      </c>
      <c r="S687" s="7">
        <v>3.5</v>
      </c>
      <c r="T687" t="s">
        <v>125</v>
      </c>
    </row>
    <row r="688" spans="1:20" x14ac:dyDescent="0.3">
      <c r="A688">
        <v>687</v>
      </c>
      <c r="B688" s="1">
        <v>44928</v>
      </c>
      <c r="C688">
        <v>2023</v>
      </c>
      <c r="D688">
        <v>1</v>
      </c>
      <c r="E688" t="s">
        <v>20</v>
      </c>
      <c r="F688">
        <v>2</v>
      </c>
      <c r="G688" t="s">
        <v>124</v>
      </c>
      <c r="H688" s="2">
        <v>46203.56958333333</v>
      </c>
      <c r="I688">
        <v>11</v>
      </c>
      <c r="J688" t="s">
        <v>22</v>
      </c>
      <c r="K688" s="8">
        <v>2</v>
      </c>
      <c r="L688">
        <v>8</v>
      </c>
      <c r="M688" t="s">
        <v>64</v>
      </c>
      <c r="N688">
        <v>45</v>
      </c>
      <c r="O688" t="s">
        <v>30</v>
      </c>
      <c r="P688" t="s">
        <v>65</v>
      </c>
      <c r="Q688" t="s">
        <v>77</v>
      </c>
      <c r="R688" s="7">
        <v>3</v>
      </c>
      <c r="S688" s="7">
        <v>6</v>
      </c>
      <c r="T688" t="s">
        <v>125</v>
      </c>
    </row>
    <row r="689" spans="1:20" x14ac:dyDescent="0.3">
      <c r="A689">
        <v>688</v>
      </c>
      <c r="B689" s="1">
        <v>44928</v>
      </c>
      <c r="C689">
        <v>2023</v>
      </c>
      <c r="D689">
        <v>1</v>
      </c>
      <c r="E689" t="s">
        <v>20</v>
      </c>
      <c r="F689">
        <v>2</v>
      </c>
      <c r="G689" t="s">
        <v>124</v>
      </c>
      <c r="H689" s="2">
        <v>46203.570763888885</v>
      </c>
      <c r="I689">
        <v>11</v>
      </c>
      <c r="J689" t="s">
        <v>22</v>
      </c>
      <c r="K689" s="8">
        <v>1</v>
      </c>
      <c r="L689">
        <v>5</v>
      </c>
      <c r="M689" t="s">
        <v>23</v>
      </c>
      <c r="N689">
        <v>48</v>
      </c>
      <c r="O689" t="s">
        <v>30</v>
      </c>
      <c r="P689" t="s">
        <v>57</v>
      </c>
      <c r="Q689" t="s">
        <v>93</v>
      </c>
      <c r="R689" s="7">
        <v>2.5</v>
      </c>
      <c r="S689" s="7">
        <v>2.5</v>
      </c>
      <c r="T689" t="s">
        <v>125</v>
      </c>
    </row>
    <row r="690" spans="1:20" x14ac:dyDescent="0.3">
      <c r="A690">
        <v>689</v>
      </c>
      <c r="B690" s="1">
        <v>44928</v>
      </c>
      <c r="C690">
        <v>2023</v>
      </c>
      <c r="D690">
        <v>1</v>
      </c>
      <c r="E690" t="s">
        <v>20</v>
      </c>
      <c r="F690">
        <v>2</v>
      </c>
      <c r="G690" t="s">
        <v>124</v>
      </c>
      <c r="H690" s="2">
        <v>46203.571250000001</v>
      </c>
      <c r="I690">
        <v>11</v>
      </c>
      <c r="J690" t="s">
        <v>22</v>
      </c>
      <c r="K690" s="8">
        <v>2</v>
      </c>
      <c r="L690">
        <v>8</v>
      </c>
      <c r="M690" t="s">
        <v>64</v>
      </c>
      <c r="N690">
        <v>45</v>
      </c>
      <c r="O690" t="s">
        <v>30</v>
      </c>
      <c r="P690" t="s">
        <v>65</v>
      </c>
      <c r="Q690" t="s">
        <v>77</v>
      </c>
      <c r="R690" s="7">
        <v>3</v>
      </c>
      <c r="S690" s="7">
        <v>6</v>
      </c>
      <c r="T690" t="s">
        <v>125</v>
      </c>
    </row>
    <row r="691" spans="1:20" x14ac:dyDescent="0.3">
      <c r="A691">
        <v>690</v>
      </c>
      <c r="B691" s="1">
        <v>44928</v>
      </c>
      <c r="C691">
        <v>2023</v>
      </c>
      <c r="D691">
        <v>1</v>
      </c>
      <c r="E691" t="s">
        <v>20</v>
      </c>
      <c r="F691">
        <v>2</v>
      </c>
      <c r="G691" t="s">
        <v>124</v>
      </c>
      <c r="H691" s="2">
        <v>46203.571250000001</v>
      </c>
      <c r="I691">
        <v>11</v>
      </c>
      <c r="J691" t="s">
        <v>22</v>
      </c>
      <c r="K691" s="8">
        <v>1</v>
      </c>
      <c r="L691">
        <v>8</v>
      </c>
      <c r="M691" t="s">
        <v>64</v>
      </c>
      <c r="N691">
        <v>72</v>
      </c>
      <c r="O691" t="s">
        <v>43</v>
      </c>
      <c r="P691" t="s">
        <v>44</v>
      </c>
      <c r="Q691" t="s">
        <v>109</v>
      </c>
      <c r="R691" s="7">
        <v>3.25</v>
      </c>
      <c r="S691" s="7">
        <v>3.25</v>
      </c>
      <c r="T691" t="s">
        <v>125</v>
      </c>
    </row>
    <row r="692" spans="1:20" x14ac:dyDescent="0.3">
      <c r="A692">
        <v>691</v>
      </c>
      <c r="B692" s="1">
        <v>44928</v>
      </c>
      <c r="C692">
        <v>2023</v>
      </c>
      <c r="D692">
        <v>1</v>
      </c>
      <c r="E692" t="s">
        <v>20</v>
      </c>
      <c r="F692">
        <v>2</v>
      </c>
      <c r="G692" t="s">
        <v>124</v>
      </c>
      <c r="H692" s="2">
        <v>46203.571574074071</v>
      </c>
      <c r="I692">
        <v>11</v>
      </c>
      <c r="J692" t="s">
        <v>22</v>
      </c>
      <c r="K692" s="8">
        <v>2</v>
      </c>
      <c r="L692">
        <v>3</v>
      </c>
      <c r="M692" t="s">
        <v>114</v>
      </c>
      <c r="N692">
        <v>26</v>
      </c>
      <c r="O692" t="s">
        <v>24</v>
      </c>
      <c r="P692" t="s">
        <v>82</v>
      </c>
      <c r="Q692" t="s">
        <v>83</v>
      </c>
      <c r="R692" s="7">
        <v>3</v>
      </c>
      <c r="S692" s="7">
        <v>6</v>
      </c>
      <c r="T692" t="s">
        <v>125</v>
      </c>
    </row>
    <row r="693" spans="1:20" x14ac:dyDescent="0.3">
      <c r="A693">
        <v>692</v>
      </c>
      <c r="B693" s="1">
        <v>44928</v>
      </c>
      <c r="C693">
        <v>2023</v>
      </c>
      <c r="D693">
        <v>1</v>
      </c>
      <c r="E693" t="s">
        <v>20</v>
      </c>
      <c r="F693">
        <v>2</v>
      </c>
      <c r="G693" t="s">
        <v>124</v>
      </c>
      <c r="H693" s="2">
        <v>46203.575810185182</v>
      </c>
      <c r="I693">
        <v>11</v>
      </c>
      <c r="J693" t="s">
        <v>22</v>
      </c>
      <c r="K693" s="8">
        <v>1</v>
      </c>
      <c r="L693">
        <v>5</v>
      </c>
      <c r="M693" t="s">
        <v>23</v>
      </c>
      <c r="N693">
        <v>44</v>
      </c>
      <c r="O693" t="s">
        <v>30</v>
      </c>
      <c r="P693" t="s">
        <v>65</v>
      </c>
      <c r="Q693" t="s">
        <v>92</v>
      </c>
      <c r="R693" s="7">
        <v>2.5</v>
      </c>
      <c r="S693" s="7">
        <v>2.5</v>
      </c>
      <c r="T693" t="s">
        <v>125</v>
      </c>
    </row>
    <row r="694" spans="1:20" x14ac:dyDescent="0.3">
      <c r="A694">
        <v>693</v>
      </c>
      <c r="B694" s="1">
        <v>44928</v>
      </c>
      <c r="C694">
        <v>2023</v>
      </c>
      <c r="D694">
        <v>1</v>
      </c>
      <c r="E694" t="s">
        <v>20</v>
      </c>
      <c r="F694">
        <v>2</v>
      </c>
      <c r="G694" t="s">
        <v>124</v>
      </c>
      <c r="H694" s="2">
        <v>46203.576597222222</v>
      </c>
      <c r="I694">
        <v>11</v>
      </c>
      <c r="J694" t="s">
        <v>22</v>
      </c>
      <c r="K694" s="8">
        <v>1</v>
      </c>
      <c r="L694">
        <v>8</v>
      </c>
      <c r="M694" t="s">
        <v>64</v>
      </c>
      <c r="N694">
        <v>33</v>
      </c>
      <c r="O694" t="s">
        <v>24</v>
      </c>
      <c r="P694" t="s">
        <v>25</v>
      </c>
      <c r="Q694" t="s">
        <v>56</v>
      </c>
      <c r="R694" s="7">
        <v>3.5</v>
      </c>
      <c r="S694" s="7">
        <v>3.5</v>
      </c>
      <c r="T694" t="s">
        <v>125</v>
      </c>
    </row>
    <row r="695" spans="1:20" x14ac:dyDescent="0.3">
      <c r="A695">
        <v>694</v>
      </c>
      <c r="B695" s="1">
        <v>44928</v>
      </c>
      <c r="C695">
        <v>2023</v>
      </c>
      <c r="D695">
        <v>1</v>
      </c>
      <c r="E695" t="s">
        <v>20</v>
      </c>
      <c r="F695">
        <v>2</v>
      </c>
      <c r="G695" t="s">
        <v>124</v>
      </c>
      <c r="H695" s="2">
        <v>46203.57675925926</v>
      </c>
      <c r="I695">
        <v>11</v>
      </c>
      <c r="J695" t="s">
        <v>22</v>
      </c>
      <c r="K695" s="8">
        <v>1</v>
      </c>
      <c r="L695">
        <v>8</v>
      </c>
      <c r="M695" t="s">
        <v>64</v>
      </c>
      <c r="N695">
        <v>33</v>
      </c>
      <c r="O695" t="s">
        <v>24</v>
      </c>
      <c r="P695" t="s">
        <v>25</v>
      </c>
      <c r="Q695" t="s">
        <v>56</v>
      </c>
      <c r="R695" s="7">
        <v>3.5</v>
      </c>
      <c r="S695" s="7">
        <v>3.5</v>
      </c>
      <c r="T695" t="s">
        <v>125</v>
      </c>
    </row>
    <row r="696" spans="1:20" x14ac:dyDescent="0.3">
      <c r="A696">
        <v>695</v>
      </c>
      <c r="B696" s="1">
        <v>44928</v>
      </c>
      <c r="C696">
        <v>2023</v>
      </c>
      <c r="D696">
        <v>1</v>
      </c>
      <c r="E696" t="s">
        <v>20</v>
      </c>
      <c r="F696">
        <v>2</v>
      </c>
      <c r="G696" t="s">
        <v>124</v>
      </c>
      <c r="H696" s="2">
        <v>46203.579027777778</v>
      </c>
      <c r="I696">
        <v>11</v>
      </c>
      <c r="J696" t="s">
        <v>22</v>
      </c>
      <c r="K696" s="8">
        <v>2</v>
      </c>
      <c r="L696">
        <v>8</v>
      </c>
      <c r="M696" t="s">
        <v>64</v>
      </c>
      <c r="N696">
        <v>48</v>
      </c>
      <c r="O696" t="s">
        <v>30</v>
      </c>
      <c r="P696" t="s">
        <v>57</v>
      </c>
      <c r="Q696" t="s">
        <v>93</v>
      </c>
      <c r="R696" s="7">
        <v>2.5</v>
      </c>
      <c r="S696" s="7">
        <v>5</v>
      </c>
      <c r="T696" t="s">
        <v>125</v>
      </c>
    </row>
    <row r="697" spans="1:20" x14ac:dyDescent="0.3">
      <c r="A697">
        <v>696</v>
      </c>
      <c r="B697" s="1">
        <v>44928</v>
      </c>
      <c r="C697">
        <v>2023</v>
      </c>
      <c r="D697">
        <v>1</v>
      </c>
      <c r="E697" t="s">
        <v>20</v>
      </c>
      <c r="F697">
        <v>2</v>
      </c>
      <c r="G697" t="s">
        <v>124</v>
      </c>
      <c r="H697" s="2">
        <v>46203.579097222224</v>
      </c>
      <c r="I697">
        <v>11</v>
      </c>
      <c r="J697" t="s">
        <v>22</v>
      </c>
      <c r="K697" s="8">
        <v>2</v>
      </c>
      <c r="L697">
        <v>8</v>
      </c>
      <c r="M697" t="s">
        <v>64</v>
      </c>
      <c r="N697">
        <v>59</v>
      </c>
      <c r="O697" t="s">
        <v>35</v>
      </c>
      <c r="P697" t="s">
        <v>36</v>
      </c>
      <c r="Q697" t="s">
        <v>37</v>
      </c>
      <c r="R697" s="7">
        <v>4.5</v>
      </c>
      <c r="S697" s="7">
        <v>9</v>
      </c>
      <c r="T697" t="s">
        <v>125</v>
      </c>
    </row>
    <row r="698" spans="1:20" x14ac:dyDescent="0.3">
      <c r="A698">
        <v>697</v>
      </c>
      <c r="B698" s="1">
        <v>44928</v>
      </c>
      <c r="C698">
        <v>2023</v>
      </c>
      <c r="D698">
        <v>1</v>
      </c>
      <c r="E698" t="s">
        <v>20</v>
      </c>
      <c r="F698">
        <v>2</v>
      </c>
      <c r="G698" t="s">
        <v>124</v>
      </c>
      <c r="H698" s="2">
        <v>46203.57917824074</v>
      </c>
      <c r="I698">
        <v>11</v>
      </c>
      <c r="J698" t="s">
        <v>22</v>
      </c>
      <c r="K698" s="8">
        <v>2</v>
      </c>
      <c r="L698">
        <v>5</v>
      </c>
      <c r="M698" t="s">
        <v>23</v>
      </c>
      <c r="N698">
        <v>43</v>
      </c>
      <c r="O698" t="s">
        <v>30</v>
      </c>
      <c r="P698" t="s">
        <v>65</v>
      </c>
      <c r="Q698" t="s">
        <v>75</v>
      </c>
      <c r="R698" s="7">
        <v>3</v>
      </c>
      <c r="S698" s="7">
        <v>6</v>
      </c>
      <c r="T698" t="s">
        <v>125</v>
      </c>
    </row>
    <row r="699" spans="1:20" x14ac:dyDescent="0.3">
      <c r="A699">
        <v>698</v>
      </c>
      <c r="B699" s="1">
        <v>44928</v>
      </c>
      <c r="C699">
        <v>2023</v>
      </c>
      <c r="D699">
        <v>1</v>
      </c>
      <c r="E699" t="s">
        <v>20</v>
      </c>
      <c r="F699">
        <v>2</v>
      </c>
      <c r="G699" t="s">
        <v>124</v>
      </c>
      <c r="H699" s="2">
        <v>46203.579513888886</v>
      </c>
      <c r="I699">
        <v>11</v>
      </c>
      <c r="J699" t="s">
        <v>22</v>
      </c>
      <c r="K699" s="8">
        <v>1</v>
      </c>
      <c r="L699">
        <v>3</v>
      </c>
      <c r="M699" t="s">
        <v>114</v>
      </c>
      <c r="N699">
        <v>26</v>
      </c>
      <c r="O699" t="s">
        <v>24</v>
      </c>
      <c r="P699" t="s">
        <v>82</v>
      </c>
      <c r="Q699" t="s">
        <v>83</v>
      </c>
      <c r="R699" s="7">
        <v>3</v>
      </c>
      <c r="S699" s="7">
        <v>3</v>
      </c>
      <c r="T699" t="s">
        <v>125</v>
      </c>
    </row>
    <row r="700" spans="1:20" x14ac:dyDescent="0.3">
      <c r="A700">
        <v>699</v>
      </c>
      <c r="B700" s="1">
        <v>44928</v>
      </c>
      <c r="C700">
        <v>2023</v>
      </c>
      <c r="D700">
        <v>1</v>
      </c>
      <c r="E700" t="s">
        <v>20</v>
      </c>
      <c r="F700">
        <v>2</v>
      </c>
      <c r="G700" t="s">
        <v>124</v>
      </c>
      <c r="H700" s="2">
        <v>46203.58021990741</v>
      </c>
      <c r="I700">
        <v>11</v>
      </c>
      <c r="J700" t="s">
        <v>22</v>
      </c>
      <c r="K700" s="8">
        <v>1</v>
      </c>
      <c r="L700">
        <v>3</v>
      </c>
      <c r="M700" t="s">
        <v>114</v>
      </c>
      <c r="N700">
        <v>53</v>
      </c>
      <c r="O700" t="s">
        <v>30</v>
      </c>
      <c r="P700" t="s">
        <v>31</v>
      </c>
      <c r="Q700" t="s">
        <v>104</v>
      </c>
      <c r="R700" s="7">
        <v>3</v>
      </c>
      <c r="S700" s="7">
        <v>3</v>
      </c>
      <c r="T700" t="s">
        <v>125</v>
      </c>
    </row>
    <row r="701" spans="1:20" x14ac:dyDescent="0.3">
      <c r="A701">
        <v>700</v>
      </c>
      <c r="B701" s="1">
        <v>44928</v>
      </c>
      <c r="C701">
        <v>2023</v>
      </c>
      <c r="D701">
        <v>1</v>
      </c>
      <c r="E701" t="s">
        <v>20</v>
      </c>
      <c r="F701">
        <v>2</v>
      </c>
      <c r="G701" t="s">
        <v>124</v>
      </c>
      <c r="H701" s="2">
        <v>46203.58085648148</v>
      </c>
      <c r="I701">
        <v>11</v>
      </c>
      <c r="J701" t="s">
        <v>22</v>
      </c>
      <c r="K701" s="8">
        <v>1</v>
      </c>
      <c r="L701">
        <v>8</v>
      </c>
      <c r="M701" t="s">
        <v>64</v>
      </c>
      <c r="N701">
        <v>28</v>
      </c>
      <c r="O701" t="s">
        <v>24</v>
      </c>
      <c r="P701" t="s">
        <v>25</v>
      </c>
      <c r="Q701" t="s">
        <v>46</v>
      </c>
      <c r="R701" s="7">
        <v>2</v>
      </c>
      <c r="S701" s="7">
        <v>2</v>
      </c>
      <c r="T701" t="s">
        <v>125</v>
      </c>
    </row>
    <row r="702" spans="1:20" x14ac:dyDescent="0.3">
      <c r="A702">
        <v>701</v>
      </c>
      <c r="B702" s="1">
        <v>44928</v>
      </c>
      <c r="C702">
        <v>2023</v>
      </c>
      <c r="D702">
        <v>1</v>
      </c>
      <c r="E702" t="s">
        <v>20</v>
      </c>
      <c r="F702">
        <v>2</v>
      </c>
      <c r="G702" t="s">
        <v>124</v>
      </c>
      <c r="H702" s="2">
        <v>46203.581226851849</v>
      </c>
      <c r="I702">
        <v>11</v>
      </c>
      <c r="J702" t="s">
        <v>22</v>
      </c>
      <c r="K702" s="8">
        <v>1</v>
      </c>
      <c r="L702">
        <v>8</v>
      </c>
      <c r="M702" t="s">
        <v>64</v>
      </c>
      <c r="N702">
        <v>37</v>
      </c>
      <c r="O702" t="s">
        <v>24</v>
      </c>
      <c r="P702" t="s">
        <v>48</v>
      </c>
      <c r="Q702" t="s">
        <v>107</v>
      </c>
      <c r="R702" s="7">
        <v>3</v>
      </c>
      <c r="S702" s="7">
        <v>3</v>
      </c>
      <c r="T702" t="s">
        <v>125</v>
      </c>
    </row>
    <row r="703" spans="1:20" x14ac:dyDescent="0.3">
      <c r="A703">
        <v>702</v>
      </c>
      <c r="B703" s="1">
        <v>44928</v>
      </c>
      <c r="C703">
        <v>2023</v>
      </c>
      <c r="D703">
        <v>1</v>
      </c>
      <c r="E703" t="s">
        <v>20</v>
      </c>
      <c r="F703">
        <v>2</v>
      </c>
      <c r="G703" t="s">
        <v>124</v>
      </c>
      <c r="H703" s="2">
        <v>46203.581226851849</v>
      </c>
      <c r="I703">
        <v>11</v>
      </c>
      <c r="J703" t="s">
        <v>22</v>
      </c>
      <c r="K703" s="8">
        <v>1</v>
      </c>
      <c r="L703">
        <v>8</v>
      </c>
      <c r="M703" t="s">
        <v>64</v>
      </c>
      <c r="N703">
        <v>78</v>
      </c>
      <c r="O703" t="s">
        <v>43</v>
      </c>
      <c r="P703" t="s">
        <v>44</v>
      </c>
      <c r="Q703" t="s">
        <v>91</v>
      </c>
      <c r="R703" s="7">
        <v>4.5</v>
      </c>
      <c r="S703" s="7">
        <v>4.5</v>
      </c>
      <c r="T703" t="s">
        <v>125</v>
      </c>
    </row>
    <row r="704" spans="1:20" x14ac:dyDescent="0.3">
      <c r="A704">
        <v>703</v>
      </c>
      <c r="B704" s="1">
        <v>44928</v>
      </c>
      <c r="C704">
        <v>2023</v>
      </c>
      <c r="D704">
        <v>1</v>
      </c>
      <c r="E704" t="s">
        <v>20</v>
      </c>
      <c r="F704">
        <v>2</v>
      </c>
      <c r="G704" t="s">
        <v>124</v>
      </c>
      <c r="H704" s="2">
        <v>46203.582511574074</v>
      </c>
      <c r="I704">
        <v>11</v>
      </c>
      <c r="J704" t="s">
        <v>22</v>
      </c>
      <c r="K704" s="8">
        <v>2</v>
      </c>
      <c r="L704">
        <v>8</v>
      </c>
      <c r="M704" t="s">
        <v>64</v>
      </c>
      <c r="N704">
        <v>35</v>
      </c>
      <c r="O704" t="s">
        <v>24</v>
      </c>
      <c r="P704" t="s">
        <v>99</v>
      </c>
      <c r="Q704" t="s">
        <v>110</v>
      </c>
      <c r="R704" s="7">
        <v>3.1</v>
      </c>
      <c r="S704" s="7">
        <v>6.2</v>
      </c>
      <c r="T704" t="s">
        <v>125</v>
      </c>
    </row>
    <row r="705" spans="1:20" x14ac:dyDescent="0.3">
      <c r="A705">
        <v>704</v>
      </c>
      <c r="B705" s="1">
        <v>44928</v>
      </c>
      <c r="C705">
        <v>2023</v>
      </c>
      <c r="D705">
        <v>1</v>
      </c>
      <c r="E705" t="s">
        <v>20</v>
      </c>
      <c r="F705">
        <v>2</v>
      </c>
      <c r="G705" t="s">
        <v>124</v>
      </c>
      <c r="H705" s="2">
        <v>46203.582511574074</v>
      </c>
      <c r="I705">
        <v>11</v>
      </c>
      <c r="J705" t="s">
        <v>22</v>
      </c>
      <c r="K705" s="8">
        <v>1</v>
      </c>
      <c r="L705">
        <v>8</v>
      </c>
      <c r="M705" t="s">
        <v>64</v>
      </c>
      <c r="N705">
        <v>71</v>
      </c>
      <c r="O705" t="s">
        <v>43</v>
      </c>
      <c r="P705" t="s">
        <v>78</v>
      </c>
      <c r="Q705" t="s">
        <v>79</v>
      </c>
      <c r="R705" s="7">
        <v>3.75</v>
      </c>
      <c r="S705" s="7">
        <v>3.75</v>
      </c>
      <c r="T705" t="s">
        <v>125</v>
      </c>
    </row>
    <row r="706" spans="1:20" x14ac:dyDescent="0.3">
      <c r="A706">
        <v>705</v>
      </c>
      <c r="B706" s="1">
        <v>44928</v>
      </c>
      <c r="C706">
        <v>2023</v>
      </c>
      <c r="D706">
        <v>1</v>
      </c>
      <c r="E706" t="s">
        <v>20</v>
      </c>
      <c r="F706">
        <v>2</v>
      </c>
      <c r="G706" t="s">
        <v>124</v>
      </c>
      <c r="H706" s="2">
        <v>46203.584606481483</v>
      </c>
      <c r="I706">
        <v>12</v>
      </c>
      <c r="J706" t="s">
        <v>120</v>
      </c>
      <c r="K706" s="8">
        <v>1</v>
      </c>
      <c r="L706">
        <v>3</v>
      </c>
      <c r="M706" t="s">
        <v>114</v>
      </c>
      <c r="N706">
        <v>53</v>
      </c>
      <c r="O706" t="s">
        <v>30</v>
      </c>
      <c r="P706" t="s">
        <v>31</v>
      </c>
      <c r="Q706" t="s">
        <v>104</v>
      </c>
      <c r="R706" s="7">
        <v>3</v>
      </c>
      <c r="S706" s="7">
        <v>3</v>
      </c>
      <c r="T706" t="s">
        <v>125</v>
      </c>
    </row>
    <row r="707" spans="1:20" x14ac:dyDescent="0.3">
      <c r="A707">
        <v>706</v>
      </c>
      <c r="B707" s="1">
        <v>44928</v>
      </c>
      <c r="C707">
        <v>2023</v>
      </c>
      <c r="D707">
        <v>1</v>
      </c>
      <c r="E707" t="s">
        <v>20</v>
      </c>
      <c r="F707">
        <v>2</v>
      </c>
      <c r="G707" t="s">
        <v>124</v>
      </c>
      <c r="H707" s="2">
        <v>46203.585960648146</v>
      </c>
      <c r="I707">
        <v>12</v>
      </c>
      <c r="J707" t="s">
        <v>120</v>
      </c>
      <c r="K707" s="8">
        <v>1</v>
      </c>
      <c r="L707">
        <v>3</v>
      </c>
      <c r="M707" t="s">
        <v>114</v>
      </c>
      <c r="N707">
        <v>23</v>
      </c>
      <c r="O707" t="s">
        <v>24</v>
      </c>
      <c r="P707" t="s">
        <v>40</v>
      </c>
      <c r="Q707" t="s">
        <v>94</v>
      </c>
      <c r="R707" s="7">
        <v>2.5</v>
      </c>
      <c r="S707" s="7">
        <v>2.5</v>
      </c>
      <c r="T707" t="s">
        <v>125</v>
      </c>
    </row>
    <row r="708" spans="1:20" x14ac:dyDescent="0.3">
      <c r="A708">
        <v>707</v>
      </c>
      <c r="B708" s="1">
        <v>44928</v>
      </c>
      <c r="C708">
        <v>2023</v>
      </c>
      <c r="D708">
        <v>1</v>
      </c>
      <c r="E708" t="s">
        <v>20</v>
      </c>
      <c r="F708">
        <v>2</v>
      </c>
      <c r="G708" t="s">
        <v>124</v>
      </c>
      <c r="H708" s="2">
        <v>46203.587708333333</v>
      </c>
      <c r="I708">
        <v>12</v>
      </c>
      <c r="J708" t="s">
        <v>120</v>
      </c>
      <c r="K708" s="8">
        <v>1</v>
      </c>
      <c r="L708">
        <v>3</v>
      </c>
      <c r="M708" t="s">
        <v>114</v>
      </c>
      <c r="N708">
        <v>32</v>
      </c>
      <c r="O708" t="s">
        <v>24</v>
      </c>
      <c r="P708" t="s">
        <v>25</v>
      </c>
      <c r="Q708" t="s">
        <v>26</v>
      </c>
      <c r="R708" s="7">
        <v>3</v>
      </c>
      <c r="S708" s="7">
        <v>3</v>
      </c>
      <c r="T708" t="s">
        <v>125</v>
      </c>
    </row>
    <row r="709" spans="1:20" x14ac:dyDescent="0.3">
      <c r="A709">
        <v>708</v>
      </c>
      <c r="B709" s="1">
        <v>44928</v>
      </c>
      <c r="C709">
        <v>2023</v>
      </c>
      <c r="D709">
        <v>1</v>
      </c>
      <c r="E709" t="s">
        <v>20</v>
      </c>
      <c r="F709">
        <v>2</v>
      </c>
      <c r="G709" t="s">
        <v>124</v>
      </c>
      <c r="H709" s="2">
        <v>46203.591678240744</v>
      </c>
      <c r="I709">
        <v>12</v>
      </c>
      <c r="J709" t="s">
        <v>120</v>
      </c>
      <c r="K709" s="8">
        <v>2</v>
      </c>
      <c r="L709">
        <v>3</v>
      </c>
      <c r="M709" t="s">
        <v>114</v>
      </c>
      <c r="N709">
        <v>24</v>
      </c>
      <c r="O709" t="s">
        <v>24</v>
      </c>
      <c r="P709" t="s">
        <v>40</v>
      </c>
      <c r="Q709" t="s">
        <v>89</v>
      </c>
      <c r="R709" s="7">
        <v>3</v>
      </c>
      <c r="S709" s="7">
        <v>6</v>
      </c>
      <c r="T709" t="s">
        <v>125</v>
      </c>
    </row>
    <row r="710" spans="1:20" x14ac:dyDescent="0.3">
      <c r="A710">
        <v>709</v>
      </c>
      <c r="B710" s="1">
        <v>44928</v>
      </c>
      <c r="C710">
        <v>2023</v>
      </c>
      <c r="D710">
        <v>1</v>
      </c>
      <c r="E710" t="s">
        <v>20</v>
      </c>
      <c r="F710">
        <v>2</v>
      </c>
      <c r="G710" t="s">
        <v>124</v>
      </c>
      <c r="H710" s="2">
        <v>46203.592175925929</v>
      </c>
      <c r="I710">
        <v>12</v>
      </c>
      <c r="J710" t="s">
        <v>120</v>
      </c>
      <c r="K710" s="8">
        <v>1</v>
      </c>
      <c r="L710">
        <v>3</v>
      </c>
      <c r="M710" t="s">
        <v>114</v>
      </c>
      <c r="N710">
        <v>42</v>
      </c>
      <c r="O710" t="s">
        <v>30</v>
      </c>
      <c r="P710" t="s">
        <v>65</v>
      </c>
      <c r="Q710" t="s">
        <v>66</v>
      </c>
      <c r="R710" s="7">
        <v>2.5</v>
      </c>
      <c r="S710" s="7">
        <v>2.5</v>
      </c>
      <c r="T710" t="s">
        <v>125</v>
      </c>
    </row>
    <row r="711" spans="1:20" x14ac:dyDescent="0.3">
      <c r="A711">
        <v>710</v>
      </c>
      <c r="B711" s="1">
        <v>44928</v>
      </c>
      <c r="C711">
        <v>2023</v>
      </c>
      <c r="D711">
        <v>1</v>
      </c>
      <c r="E711" t="s">
        <v>20</v>
      </c>
      <c r="F711">
        <v>2</v>
      </c>
      <c r="G711" t="s">
        <v>124</v>
      </c>
      <c r="H711" s="2">
        <v>46203.593055555553</v>
      </c>
      <c r="I711">
        <v>12</v>
      </c>
      <c r="J711" t="s">
        <v>120</v>
      </c>
      <c r="K711" s="8">
        <v>1</v>
      </c>
      <c r="L711">
        <v>8</v>
      </c>
      <c r="M711" t="s">
        <v>64</v>
      </c>
      <c r="N711">
        <v>54</v>
      </c>
      <c r="O711" t="s">
        <v>30</v>
      </c>
      <c r="P711" t="s">
        <v>31</v>
      </c>
      <c r="Q711" t="s">
        <v>87</v>
      </c>
      <c r="R711" s="7">
        <v>2.5</v>
      </c>
      <c r="S711" s="7">
        <v>2.5</v>
      </c>
      <c r="T711" t="s">
        <v>125</v>
      </c>
    </row>
    <row r="712" spans="1:20" x14ac:dyDescent="0.3">
      <c r="A712">
        <v>711</v>
      </c>
      <c r="B712" s="1">
        <v>44928</v>
      </c>
      <c r="C712">
        <v>2023</v>
      </c>
      <c r="D712">
        <v>1</v>
      </c>
      <c r="E712" t="s">
        <v>20</v>
      </c>
      <c r="F712">
        <v>2</v>
      </c>
      <c r="G712" t="s">
        <v>124</v>
      </c>
      <c r="H712" s="2">
        <v>46203.595983796295</v>
      </c>
      <c r="I712">
        <v>12</v>
      </c>
      <c r="J712" t="s">
        <v>120</v>
      </c>
      <c r="K712" s="8">
        <v>1</v>
      </c>
      <c r="L712">
        <v>3</v>
      </c>
      <c r="M712" t="s">
        <v>114</v>
      </c>
      <c r="N712">
        <v>55</v>
      </c>
      <c r="O712" t="s">
        <v>30</v>
      </c>
      <c r="P712" t="s">
        <v>31</v>
      </c>
      <c r="Q712" t="s">
        <v>88</v>
      </c>
      <c r="R712" s="7">
        <v>4</v>
      </c>
      <c r="S712" s="7">
        <v>4</v>
      </c>
      <c r="T712" t="s">
        <v>125</v>
      </c>
    </row>
    <row r="713" spans="1:20" x14ac:dyDescent="0.3">
      <c r="A713">
        <v>712</v>
      </c>
      <c r="B713" s="1">
        <v>44928</v>
      </c>
      <c r="C713">
        <v>2023</v>
      </c>
      <c r="D713">
        <v>1</v>
      </c>
      <c r="E713" t="s">
        <v>20</v>
      </c>
      <c r="F713">
        <v>2</v>
      </c>
      <c r="G713" t="s">
        <v>124</v>
      </c>
      <c r="H713" s="2">
        <v>46203.596087962964</v>
      </c>
      <c r="I713">
        <v>12</v>
      </c>
      <c r="J713" t="s">
        <v>120</v>
      </c>
      <c r="K713" s="8">
        <v>2</v>
      </c>
      <c r="L713">
        <v>3</v>
      </c>
      <c r="M713" t="s">
        <v>114</v>
      </c>
      <c r="N713">
        <v>25</v>
      </c>
      <c r="O713" t="s">
        <v>24</v>
      </c>
      <c r="P713" t="s">
        <v>82</v>
      </c>
      <c r="Q713" t="s">
        <v>96</v>
      </c>
      <c r="R713" s="7">
        <v>2.2000000000000002</v>
      </c>
      <c r="S713" s="7">
        <v>4.4000000000000004</v>
      </c>
      <c r="T713" t="s">
        <v>125</v>
      </c>
    </row>
    <row r="714" spans="1:20" x14ac:dyDescent="0.3">
      <c r="A714">
        <v>713</v>
      </c>
      <c r="B714" s="1">
        <v>44928</v>
      </c>
      <c r="C714">
        <v>2023</v>
      </c>
      <c r="D714">
        <v>1</v>
      </c>
      <c r="E714" t="s">
        <v>20</v>
      </c>
      <c r="F714">
        <v>2</v>
      </c>
      <c r="G714" t="s">
        <v>124</v>
      </c>
      <c r="H714" s="2">
        <v>46203.596087962964</v>
      </c>
      <c r="I714">
        <v>12</v>
      </c>
      <c r="J714" t="s">
        <v>120</v>
      </c>
      <c r="K714" s="8">
        <v>1</v>
      </c>
      <c r="L714">
        <v>3</v>
      </c>
      <c r="M714" t="s">
        <v>114</v>
      </c>
      <c r="N714">
        <v>79</v>
      </c>
      <c r="O714" t="s">
        <v>43</v>
      </c>
      <c r="P714" t="s">
        <v>44</v>
      </c>
      <c r="Q714" t="s">
        <v>62</v>
      </c>
      <c r="R714" s="7">
        <v>3.75</v>
      </c>
      <c r="S714" s="7">
        <v>3.75</v>
      </c>
      <c r="T714" t="s">
        <v>125</v>
      </c>
    </row>
    <row r="715" spans="1:20" x14ac:dyDescent="0.3">
      <c r="A715">
        <v>714</v>
      </c>
      <c r="B715" s="1">
        <v>44928</v>
      </c>
      <c r="C715">
        <v>2023</v>
      </c>
      <c r="D715">
        <v>1</v>
      </c>
      <c r="E715" t="s">
        <v>20</v>
      </c>
      <c r="F715">
        <v>2</v>
      </c>
      <c r="G715" t="s">
        <v>124</v>
      </c>
      <c r="H715" s="2">
        <v>46203.597719907404</v>
      </c>
      <c r="I715">
        <v>12</v>
      </c>
      <c r="J715" t="s">
        <v>120</v>
      </c>
      <c r="K715" s="8">
        <v>1</v>
      </c>
      <c r="L715">
        <v>5</v>
      </c>
      <c r="M715" t="s">
        <v>23</v>
      </c>
      <c r="N715">
        <v>47</v>
      </c>
      <c r="O715" t="s">
        <v>30</v>
      </c>
      <c r="P715" t="s">
        <v>60</v>
      </c>
      <c r="Q715" t="s">
        <v>61</v>
      </c>
      <c r="R715" s="7">
        <v>3</v>
      </c>
      <c r="S715" s="7">
        <v>3</v>
      </c>
      <c r="T715" t="s">
        <v>125</v>
      </c>
    </row>
    <row r="716" spans="1:20" x14ac:dyDescent="0.3">
      <c r="A716">
        <v>715</v>
      </c>
      <c r="B716" s="1">
        <v>44928</v>
      </c>
      <c r="C716">
        <v>2023</v>
      </c>
      <c r="D716">
        <v>1</v>
      </c>
      <c r="E716" t="s">
        <v>20</v>
      </c>
      <c r="F716">
        <v>2</v>
      </c>
      <c r="G716" t="s">
        <v>124</v>
      </c>
      <c r="H716" s="2">
        <v>46203.597719907404</v>
      </c>
      <c r="I716">
        <v>12</v>
      </c>
      <c r="J716" t="s">
        <v>120</v>
      </c>
      <c r="K716" s="8">
        <v>1</v>
      </c>
      <c r="L716">
        <v>5</v>
      </c>
      <c r="M716" t="s">
        <v>23</v>
      </c>
      <c r="N716">
        <v>71</v>
      </c>
      <c r="O716" t="s">
        <v>43</v>
      </c>
      <c r="P716" t="s">
        <v>78</v>
      </c>
      <c r="Q716" t="s">
        <v>79</v>
      </c>
      <c r="R716" s="7">
        <v>3.75</v>
      </c>
      <c r="S716" s="7">
        <v>3.75</v>
      </c>
      <c r="T716" t="s">
        <v>125</v>
      </c>
    </row>
    <row r="717" spans="1:20" x14ac:dyDescent="0.3">
      <c r="A717">
        <v>716</v>
      </c>
      <c r="B717" s="1">
        <v>44928</v>
      </c>
      <c r="C717">
        <v>2023</v>
      </c>
      <c r="D717">
        <v>1</v>
      </c>
      <c r="E717" t="s">
        <v>20</v>
      </c>
      <c r="F717">
        <v>2</v>
      </c>
      <c r="G717" t="s">
        <v>124</v>
      </c>
      <c r="H717" s="2">
        <v>46203.598356481481</v>
      </c>
      <c r="I717">
        <v>12</v>
      </c>
      <c r="J717" t="s">
        <v>120</v>
      </c>
      <c r="K717" s="8">
        <v>1</v>
      </c>
      <c r="L717">
        <v>8</v>
      </c>
      <c r="M717" t="s">
        <v>64</v>
      </c>
      <c r="N717">
        <v>48</v>
      </c>
      <c r="O717" t="s">
        <v>30</v>
      </c>
      <c r="P717" t="s">
        <v>57</v>
      </c>
      <c r="Q717" t="s">
        <v>93</v>
      </c>
      <c r="R717" s="7">
        <v>2.5</v>
      </c>
      <c r="S717" s="7">
        <v>2.5</v>
      </c>
      <c r="T717" t="s">
        <v>125</v>
      </c>
    </row>
    <row r="718" spans="1:20" x14ac:dyDescent="0.3">
      <c r="A718">
        <v>717</v>
      </c>
      <c r="B718" s="1">
        <v>44928</v>
      </c>
      <c r="C718">
        <v>2023</v>
      </c>
      <c r="D718">
        <v>1</v>
      </c>
      <c r="E718" t="s">
        <v>20</v>
      </c>
      <c r="F718">
        <v>2</v>
      </c>
      <c r="G718" t="s">
        <v>124</v>
      </c>
      <c r="H718" s="2">
        <v>46203.598368055558</v>
      </c>
      <c r="I718">
        <v>12</v>
      </c>
      <c r="J718" t="s">
        <v>120</v>
      </c>
      <c r="K718" s="8">
        <v>1</v>
      </c>
      <c r="L718">
        <v>3</v>
      </c>
      <c r="M718" t="s">
        <v>114</v>
      </c>
      <c r="N718">
        <v>49</v>
      </c>
      <c r="O718" t="s">
        <v>30</v>
      </c>
      <c r="P718" t="s">
        <v>57</v>
      </c>
      <c r="Q718" t="s">
        <v>117</v>
      </c>
      <c r="R718" s="7">
        <v>3</v>
      </c>
      <c r="S718" s="7">
        <v>3</v>
      </c>
      <c r="T718" t="s">
        <v>125</v>
      </c>
    </row>
    <row r="719" spans="1:20" x14ac:dyDescent="0.3">
      <c r="A719">
        <v>718</v>
      </c>
      <c r="B719" s="1">
        <v>44928</v>
      </c>
      <c r="C719">
        <v>2023</v>
      </c>
      <c r="D719">
        <v>1</v>
      </c>
      <c r="E719" t="s">
        <v>20</v>
      </c>
      <c r="F719">
        <v>2</v>
      </c>
      <c r="G719" t="s">
        <v>124</v>
      </c>
      <c r="H719" s="2">
        <v>46203.598587962966</v>
      </c>
      <c r="I719">
        <v>12</v>
      </c>
      <c r="J719" t="s">
        <v>120</v>
      </c>
      <c r="K719" s="8">
        <v>2</v>
      </c>
      <c r="L719">
        <v>3</v>
      </c>
      <c r="M719" t="s">
        <v>114</v>
      </c>
      <c r="N719">
        <v>53</v>
      </c>
      <c r="O719" t="s">
        <v>30</v>
      </c>
      <c r="P719" t="s">
        <v>31</v>
      </c>
      <c r="Q719" t="s">
        <v>104</v>
      </c>
      <c r="R719" s="7">
        <v>3</v>
      </c>
      <c r="S719" s="7">
        <v>6</v>
      </c>
      <c r="T719" t="s">
        <v>125</v>
      </c>
    </row>
    <row r="720" spans="1:20" x14ac:dyDescent="0.3">
      <c r="A720">
        <v>719</v>
      </c>
      <c r="B720" s="1">
        <v>44928</v>
      </c>
      <c r="C720">
        <v>2023</v>
      </c>
      <c r="D720">
        <v>1</v>
      </c>
      <c r="E720" t="s">
        <v>20</v>
      </c>
      <c r="F720">
        <v>2</v>
      </c>
      <c r="G720" t="s">
        <v>124</v>
      </c>
      <c r="H720" s="2">
        <v>46203.598657407405</v>
      </c>
      <c r="I720">
        <v>12</v>
      </c>
      <c r="J720" t="s">
        <v>120</v>
      </c>
      <c r="K720" s="8">
        <v>1</v>
      </c>
      <c r="L720">
        <v>3</v>
      </c>
      <c r="M720" t="s">
        <v>114</v>
      </c>
      <c r="N720">
        <v>22</v>
      </c>
      <c r="O720" t="s">
        <v>24</v>
      </c>
      <c r="P720" t="s">
        <v>40</v>
      </c>
      <c r="Q720" t="s">
        <v>41</v>
      </c>
      <c r="R720" s="7">
        <v>2</v>
      </c>
      <c r="S720" s="7">
        <v>2</v>
      </c>
      <c r="T720" t="s">
        <v>125</v>
      </c>
    </row>
    <row r="721" spans="1:20" x14ac:dyDescent="0.3">
      <c r="A721">
        <v>720</v>
      </c>
      <c r="B721" s="1">
        <v>44928</v>
      </c>
      <c r="C721">
        <v>2023</v>
      </c>
      <c r="D721">
        <v>1</v>
      </c>
      <c r="E721" t="s">
        <v>20</v>
      </c>
      <c r="F721">
        <v>2</v>
      </c>
      <c r="G721" t="s">
        <v>124</v>
      </c>
      <c r="H721" s="2">
        <v>46203.598749999997</v>
      </c>
      <c r="I721">
        <v>12</v>
      </c>
      <c r="J721" t="s">
        <v>120</v>
      </c>
      <c r="K721" s="8">
        <v>1</v>
      </c>
      <c r="L721">
        <v>5</v>
      </c>
      <c r="M721" t="s">
        <v>23</v>
      </c>
      <c r="N721">
        <v>55</v>
      </c>
      <c r="O721" t="s">
        <v>30</v>
      </c>
      <c r="P721" t="s">
        <v>31</v>
      </c>
      <c r="Q721" t="s">
        <v>88</v>
      </c>
      <c r="R721" s="7">
        <v>4</v>
      </c>
      <c r="S721" s="7">
        <v>4</v>
      </c>
      <c r="T721" t="s">
        <v>125</v>
      </c>
    </row>
    <row r="722" spans="1:20" x14ac:dyDescent="0.3">
      <c r="A722">
        <v>721</v>
      </c>
      <c r="B722" s="1">
        <v>44928</v>
      </c>
      <c r="C722">
        <v>2023</v>
      </c>
      <c r="D722">
        <v>1</v>
      </c>
      <c r="E722" t="s">
        <v>20</v>
      </c>
      <c r="F722">
        <v>2</v>
      </c>
      <c r="G722" t="s">
        <v>124</v>
      </c>
      <c r="H722" s="2">
        <v>46203.598749999997</v>
      </c>
      <c r="I722">
        <v>12</v>
      </c>
      <c r="J722" t="s">
        <v>120</v>
      </c>
      <c r="K722" s="8">
        <v>1</v>
      </c>
      <c r="L722">
        <v>5</v>
      </c>
      <c r="M722" t="s">
        <v>23</v>
      </c>
      <c r="N722">
        <v>79</v>
      </c>
      <c r="O722" t="s">
        <v>43</v>
      </c>
      <c r="P722" t="s">
        <v>44</v>
      </c>
      <c r="Q722" t="s">
        <v>62</v>
      </c>
      <c r="R722" s="7">
        <v>3.75</v>
      </c>
      <c r="S722" s="7">
        <v>3.75</v>
      </c>
      <c r="T722" t="s">
        <v>125</v>
      </c>
    </row>
    <row r="723" spans="1:20" x14ac:dyDescent="0.3">
      <c r="A723">
        <v>722</v>
      </c>
      <c r="B723" s="1">
        <v>44928</v>
      </c>
      <c r="C723">
        <v>2023</v>
      </c>
      <c r="D723">
        <v>1</v>
      </c>
      <c r="E723" t="s">
        <v>20</v>
      </c>
      <c r="F723">
        <v>2</v>
      </c>
      <c r="G723" t="s">
        <v>124</v>
      </c>
      <c r="H723" s="2">
        <v>46203.599340277775</v>
      </c>
      <c r="I723">
        <v>12</v>
      </c>
      <c r="J723" t="s">
        <v>120</v>
      </c>
      <c r="K723" s="8">
        <v>1</v>
      </c>
      <c r="L723">
        <v>5</v>
      </c>
      <c r="M723" t="s">
        <v>23</v>
      </c>
      <c r="N723">
        <v>22</v>
      </c>
      <c r="O723" t="s">
        <v>24</v>
      </c>
      <c r="P723" t="s">
        <v>40</v>
      </c>
      <c r="Q723" t="s">
        <v>41</v>
      </c>
      <c r="R723" s="7">
        <v>2</v>
      </c>
      <c r="S723" s="7">
        <v>2</v>
      </c>
      <c r="T723" t="s">
        <v>125</v>
      </c>
    </row>
    <row r="724" spans="1:20" x14ac:dyDescent="0.3">
      <c r="A724">
        <v>723</v>
      </c>
      <c r="B724" s="1">
        <v>44928</v>
      </c>
      <c r="C724">
        <v>2023</v>
      </c>
      <c r="D724">
        <v>1</v>
      </c>
      <c r="E724" t="s">
        <v>20</v>
      </c>
      <c r="F724">
        <v>2</v>
      </c>
      <c r="G724" t="s">
        <v>124</v>
      </c>
      <c r="H724" s="2">
        <v>46203.599652777775</v>
      </c>
      <c r="I724">
        <v>12</v>
      </c>
      <c r="J724" t="s">
        <v>120</v>
      </c>
      <c r="K724" s="8">
        <v>1</v>
      </c>
      <c r="L724">
        <v>3</v>
      </c>
      <c r="M724" t="s">
        <v>114</v>
      </c>
      <c r="N724">
        <v>43</v>
      </c>
      <c r="O724" t="s">
        <v>30</v>
      </c>
      <c r="P724" t="s">
        <v>65</v>
      </c>
      <c r="Q724" t="s">
        <v>75</v>
      </c>
      <c r="R724" s="7">
        <v>3</v>
      </c>
      <c r="S724" s="7">
        <v>3</v>
      </c>
      <c r="T724" t="s">
        <v>125</v>
      </c>
    </row>
    <row r="725" spans="1:20" x14ac:dyDescent="0.3">
      <c r="A725">
        <v>724</v>
      </c>
      <c r="B725" s="1">
        <v>44928</v>
      </c>
      <c r="C725">
        <v>2023</v>
      </c>
      <c r="D725">
        <v>1</v>
      </c>
      <c r="E725" t="s">
        <v>20</v>
      </c>
      <c r="F725">
        <v>2</v>
      </c>
      <c r="G725" t="s">
        <v>124</v>
      </c>
      <c r="H725" s="2">
        <v>46203.599652777775</v>
      </c>
      <c r="I725">
        <v>12</v>
      </c>
      <c r="J725" t="s">
        <v>120</v>
      </c>
      <c r="K725" s="8">
        <v>1</v>
      </c>
      <c r="L725">
        <v>3</v>
      </c>
      <c r="M725" t="s">
        <v>114</v>
      </c>
      <c r="N725">
        <v>78</v>
      </c>
      <c r="O725" t="s">
        <v>43</v>
      </c>
      <c r="P725" t="s">
        <v>44</v>
      </c>
      <c r="Q725" t="s">
        <v>91</v>
      </c>
      <c r="R725" s="7">
        <v>4.5</v>
      </c>
      <c r="S725" s="7">
        <v>4.5</v>
      </c>
      <c r="T725" t="s">
        <v>125</v>
      </c>
    </row>
    <row r="726" spans="1:20" x14ac:dyDescent="0.3">
      <c r="A726">
        <v>725</v>
      </c>
      <c r="B726" s="1">
        <v>44928</v>
      </c>
      <c r="C726">
        <v>2023</v>
      </c>
      <c r="D726">
        <v>1</v>
      </c>
      <c r="E726" t="s">
        <v>20</v>
      </c>
      <c r="F726">
        <v>2</v>
      </c>
      <c r="G726" t="s">
        <v>124</v>
      </c>
      <c r="H726" s="2">
        <v>46203.600451388891</v>
      </c>
      <c r="I726">
        <v>12</v>
      </c>
      <c r="J726" t="s">
        <v>120</v>
      </c>
      <c r="K726" s="8">
        <v>2</v>
      </c>
      <c r="L726">
        <v>5</v>
      </c>
      <c r="M726" t="s">
        <v>23</v>
      </c>
      <c r="N726">
        <v>33</v>
      </c>
      <c r="O726" t="s">
        <v>24</v>
      </c>
      <c r="P726" t="s">
        <v>25</v>
      </c>
      <c r="Q726" t="s">
        <v>56</v>
      </c>
      <c r="R726" s="7">
        <v>3.5</v>
      </c>
      <c r="S726" s="7">
        <v>7</v>
      </c>
      <c r="T726" t="s">
        <v>125</v>
      </c>
    </row>
    <row r="727" spans="1:20" x14ac:dyDescent="0.3">
      <c r="A727">
        <v>726</v>
      </c>
      <c r="B727" s="1">
        <v>44928</v>
      </c>
      <c r="C727">
        <v>2023</v>
      </c>
      <c r="D727">
        <v>1</v>
      </c>
      <c r="E727" t="s">
        <v>20</v>
      </c>
      <c r="F727">
        <v>2</v>
      </c>
      <c r="G727" t="s">
        <v>124</v>
      </c>
      <c r="H727" s="2">
        <v>46203.600451388891</v>
      </c>
      <c r="I727">
        <v>12</v>
      </c>
      <c r="J727" t="s">
        <v>120</v>
      </c>
      <c r="K727" s="8">
        <v>1</v>
      </c>
      <c r="L727">
        <v>5</v>
      </c>
      <c r="M727" t="s">
        <v>23</v>
      </c>
      <c r="N727">
        <v>69</v>
      </c>
      <c r="O727" t="s">
        <v>43</v>
      </c>
      <c r="P727" t="s">
        <v>71</v>
      </c>
      <c r="Q727" t="s">
        <v>72</v>
      </c>
      <c r="R727" s="7">
        <v>3.25</v>
      </c>
      <c r="S727" s="7">
        <v>3.25</v>
      </c>
      <c r="T727" t="s">
        <v>125</v>
      </c>
    </row>
    <row r="728" spans="1:20" x14ac:dyDescent="0.3">
      <c r="A728">
        <v>727</v>
      </c>
      <c r="B728" s="1">
        <v>44928</v>
      </c>
      <c r="C728">
        <v>2023</v>
      </c>
      <c r="D728">
        <v>1</v>
      </c>
      <c r="E728" t="s">
        <v>20</v>
      </c>
      <c r="F728">
        <v>2</v>
      </c>
      <c r="G728" t="s">
        <v>124</v>
      </c>
      <c r="H728" s="2">
        <v>46203.600729166668</v>
      </c>
      <c r="I728">
        <v>12</v>
      </c>
      <c r="J728" t="s">
        <v>120</v>
      </c>
      <c r="K728" s="8">
        <v>1</v>
      </c>
      <c r="L728">
        <v>3</v>
      </c>
      <c r="M728" t="s">
        <v>114</v>
      </c>
      <c r="N728">
        <v>24</v>
      </c>
      <c r="O728" t="s">
        <v>24</v>
      </c>
      <c r="P728" t="s">
        <v>40</v>
      </c>
      <c r="Q728" t="s">
        <v>89</v>
      </c>
      <c r="R728" s="7">
        <v>3</v>
      </c>
      <c r="S728" s="7">
        <v>3</v>
      </c>
      <c r="T728" t="s">
        <v>125</v>
      </c>
    </row>
    <row r="729" spans="1:20" x14ac:dyDescent="0.3">
      <c r="A729">
        <v>728</v>
      </c>
      <c r="B729" s="1">
        <v>44928</v>
      </c>
      <c r="C729">
        <v>2023</v>
      </c>
      <c r="D729">
        <v>1</v>
      </c>
      <c r="E729" t="s">
        <v>20</v>
      </c>
      <c r="F729">
        <v>2</v>
      </c>
      <c r="G729" t="s">
        <v>124</v>
      </c>
      <c r="H729" s="2">
        <v>46203.600972222222</v>
      </c>
      <c r="I729">
        <v>12</v>
      </c>
      <c r="J729" t="s">
        <v>120</v>
      </c>
      <c r="K729" s="8">
        <v>2</v>
      </c>
      <c r="L729">
        <v>5</v>
      </c>
      <c r="M729" t="s">
        <v>23</v>
      </c>
      <c r="N729">
        <v>56</v>
      </c>
      <c r="O729" t="s">
        <v>30</v>
      </c>
      <c r="P729" t="s">
        <v>31</v>
      </c>
      <c r="Q729" t="s">
        <v>54</v>
      </c>
      <c r="R729" s="7">
        <v>2.5499999999999998</v>
      </c>
      <c r="S729" s="7">
        <v>5.0999999999999996</v>
      </c>
      <c r="T729" t="s">
        <v>125</v>
      </c>
    </row>
    <row r="730" spans="1:20" x14ac:dyDescent="0.3">
      <c r="A730">
        <v>729</v>
      </c>
      <c r="B730" s="1">
        <v>44928</v>
      </c>
      <c r="C730">
        <v>2023</v>
      </c>
      <c r="D730">
        <v>1</v>
      </c>
      <c r="E730" t="s">
        <v>20</v>
      </c>
      <c r="F730">
        <v>2</v>
      </c>
      <c r="G730" t="s">
        <v>124</v>
      </c>
      <c r="H730" s="2">
        <v>46203.601539351854</v>
      </c>
      <c r="I730">
        <v>12</v>
      </c>
      <c r="J730" t="s">
        <v>120</v>
      </c>
      <c r="K730" s="8">
        <v>2</v>
      </c>
      <c r="L730">
        <v>5</v>
      </c>
      <c r="M730" t="s">
        <v>23</v>
      </c>
      <c r="N730">
        <v>25</v>
      </c>
      <c r="O730" t="s">
        <v>24</v>
      </c>
      <c r="P730" t="s">
        <v>82</v>
      </c>
      <c r="Q730" t="s">
        <v>96</v>
      </c>
      <c r="R730" s="7">
        <v>2.2000000000000002</v>
      </c>
      <c r="S730" s="7">
        <v>4.4000000000000004</v>
      </c>
      <c r="T730" t="s">
        <v>125</v>
      </c>
    </row>
    <row r="731" spans="1:20" x14ac:dyDescent="0.3">
      <c r="A731">
        <v>730</v>
      </c>
      <c r="B731" s="1">
        <v>44928</v>
      </c>
      <c r="C731">
        <v>2023</v>
      </c>
      <c r="D731">
        <v>1</v>
      </c>
      <c r="E731" t="s">
        <v>20</v>
      </c>
      <c r="F731">
        <v>2</v>
      </c>
      <c r="G731" t="s">
        <v>124</v>
      </c>
      <c r="H731" s="2">
        <v>46203.601539351854</v>
      </c>
      <c r="I731">
        <v>12</v>
      </c>
      <c r="J731" t="s">
        <v>120</v>
      </c>
      <c r="K731" s="8">
        <v>1</v>
      </c>
      <c r="L731">
        <v>5</v>
      </c>
      <c r="M731" t="s">
        <v>23</v>
      </c>
      <c r="N731">
        <v>78</v>
      </c>
      <c r="O731" t="s">
        <v>43</v>
      </c>
      <c r="P731" t="s">
        <v>44</v>
      </c>
      <c r="Q731" t="s">
        <v>91</v>
      </c>
      <c r="R731" s="7">
        <v>4.5</v>
      </c>
      <c r="S731" s="7">
        <v>4.5</v>
      </c>
      <c r="T731" t="s">
        <v>125</v>
      </c>
    </row>
    <row r="732" spans="1:20" x14ac:dyDescent="0.3">
      <c r="A732">
        <v>731</v>
      </c>
      <c r="B732" s="1">
        <v>44928</v>
      </c>
      <c r="C732">
        <v>2023</v>
      </c>
      <c r="D732">
        <v>1</v>
      </c>
      <c r="E732" t="s">
        <v>20</v>
      </c>
      <c r="F732">
        <v>2</v>
      </c>
      <c r="G732" t="s">
        <v>124</v>
      </c>
      <c r="H732" s="2">
        <v>46203.601597222223</v>
      </c>
      <c r="I732">
        <v>12</v>
      </c>
      <c r="J732" t="s">
        <v>120</v>
      </c>
      <c r="K732" s="8">
        <v>1</v>
      </c>
      <c r="L732">
        <v>8</v>
      </c>
      <c r="M732" t="s">
        <v>64</v>
      </c>
      <c r="N732">
        <v>28</v>
      </c>
      <c r="O732" t="s">
        <v>24</v>
      </c>
      <c r="P732" t="s">
        <v>25</v>
      </c>
      <c r="Q732" t="s">
        <v>46</v>
      </c>
      <c r="R732" s="7">
        <v>2</v>
      </c>
      <c r="S732" s="7">
        <v>2</v>
      </c>
      <c r="T732" t="s">
        <v>125</v>
      </c>
    </row>
    <row r="733" spans="1:20" x14ac:dyDescent="0.3">
      <c r="A733">
        <v>732</v>
      </c>
      <c r="B733" s="1">
        <v>44928</v>
      </c>
      <c r="C733">
        <v>2023</v>
      </c>
      <c r="D733">
        <v>1</v>
      </c>
      <c r="E733" t="s">
        <v>20</v>
      </c>
      <c r="F733">
        <v>2</v>
      </c>
      <c r="G733" t="s">
        <v>124</v>
      </c>
      <c r="H733" s="2">
        <v>46203.602094907408</v>
      </c>
      <c r="I733">
        <v>12</v>
      </c>
      <c r="J733" t="s">
        <v>120</v>
      </c>
      <c r="K733" s="8">
        <v>1</v>
      </c>
      <c r="L733">
        <v>8</v>
      </c>
      <c r="M733" t="s">
        <v>64</v>
      </c>
      <c r="N733">
        <v>60</v>
      </c>
      <c r="O733" t="s">
        <v>35</v>
      </c>
      <c r="P733" t="s">
        <v>36</v>
      </c>
      <c r="Q733" t="s">
        <v>90</v>
      </c>
      <c r="R733" s="7">
        <v>3.75</v>
      </c>
      <c r="S733" s="7">
        <v>3.75</v>
      </c>
      <c r="T733" t="s">
        <v>125</v>
      </c>
    </row>
    <row r="734" spans="1:20" x14ac:dyDescent="0.3">
      <c r="A734">
        <v>733</v>
      </c>
      <c r="B734" s="1">
        <v>44928</v>
      </c>
      <c r="C734">
        <v>2023</v>
      </c>
      <c r="D734">
        <v>1</v>
      </c>
      <c r="E734" t="s">
        <v>20</v>
      </c>
      <c r="F734">
        <v>2</v>
      </c>
      <c r="G734" t="s">
        <v>124</v>
      </c>
      <c r="H734" s="2">
        <v>46203.602870370371</v>
      </c>
      <c r="I734">
        <v>12</v>
      </c>
      <c r="J734" t="s">
        <v>120</v>
      </c>
      <c r="K734" s="8">
        <v>2</v>
      </c>
      <c r="L734">
        <v>3</v>
      </c>
      <c r="M734" t="s">
        <v>114</v>
      </c>
      <c r="N734">
        <v>51</v>
      </c>
      <c r="O734" t="s">
        <v>30</v>
      </c>
      <c r="P734" t="s">
        <v>57</v>
      </c>
      <c r="Q734" t="s">
        <v>58</v>
      </c>
      <c r="R734" s="7">
        <v>3</v>
      </c>
      <c r="S734" s="7">
        <v>6</v>
      </c>
      <c r="T734" t="s">
        <v>125</v>
      </c>
    </row>
    <row r="735" spans="1:20" x14ac:dyDescent="0.3">
      <c r="A735">
        <v>734</v>
      </c>
      <c r="B735" s="1">
        <v>44928</v>
      </c>
      <c r="C735">
        <v>2023</v>
      </c>
      <c r="D735">
        <v>1</v>
      </c>
      <c r="E735" t="s">
        <v>20</v>
      </c>
      <c r="F735">
        <v>2</v>
      </c>
      <c r="G735" t="s">
        <v>124</v>
      </c>
      <c r="H735" s="2">
        <v>46203.603067129632</v>
      </c>
      <c r="I735">
        <v>12</v>
      </c>
      <c r="J735" t="s">
        <v>120</v>
      </c>
      <c r="K735" s="8">
        <v>1</v>
      </c>
      <c r="L735">
        <v>3</v>
      </c>
      <c r="M735" t="s">
        <v>114</v>
      </c>
      <c r="N735">
        <v>60</v>
      </c>
      <c r="O735" t="s">
        <v>35</v>
      </c>
      <c r="P735" t="s">
        <v>36</v>
      </c>
      <c r="Q735" t="s">
        <v>90</v>
      </c>
      <c r="R735" s="7">
        <v>3.75</v>
      </c>
      <c r="S735" s="7">
        <v>3.75</v>
      </c>
      <c r="T735" t="s">
        <v>125</v>
      </c>
    </row>
    <row r="736" spans="1:20" x14ac:dyDescent="0.3">
      <c r="A736">
        <v>735</v>
      </c>
      <c r="B736" s="1">
        <v>44928</v>
      </c>
      <c r="C736">
        <v>2023</v>
      </c>
      <c r="D736">
        <v>1</v>
      </c>
      <c r="E736" t="s">
        <v>20</v>
      </c>
      <c r="F736">
        <v>2</v>
      </c>
      <c r="G736" t="s">
        <v>124</v>
      </c>
      <c r="H736" s="2">
        <v>46203.60355324074</v>
      </c>
      <c r="I736">
        <v>12</v>
      </c>
      <c r="J736" t="s">
        <v>120</v>
      </c>
      <c r="K736" s="8">
        <v>1</v>
      </c>
      <c r="L736">
        <v>3</v>
      </c>
      <c r="M736" t="s">
        <v>114</v>
      </c>
      <c r="N736">
        <v>24</v>
      </c>
      <c r="O736" t="s">
        <v>24</v>
      </c>
      <c r="P736" t="s">
        <v>40</v>
      </c>
      <c r="Q736" t="s">
        <v>89</v>
      </c>
      <c r="R736" s="7">
        <v>3</v>
      </c>
      <c r="S736" s="7">
        <v>3</v>
      </c>
      <c r="T736" t="s">
        <v>125</v>
      </c>
    </row>
    <row r="737" spans="1:20" x14ac:dyDescent="0.3">
      <c r="A737">
        <v>736</v>
      </c>
      <c r="B737" s="1">
        <v>44928</v>
      </c>
      <c r="C737">
        <v>2023</v>
      </c>
      <c r="D737">
        <v>1</v>
      </c>
      <c r="E737" t="s">
        <v>20</v>
      </c>
      <c r="F737">
        <v>2</v>
      </c>
      <c r="G737" t="s">
        <v>124</v>
      </c>
      <c r="H737" s="2">
        <v>46203.604664351849</v>
      </c>
      <c r="I737">
        <v>12</v>
      </c>
      <c r="J737" t="s">
        <v>120</v>
      </c>
      <c r="K737" s="8">
        <v>2</v>
      </c>
      <c r="L737">
        <v>3</v>
      </c>
      <c r="M737" t="s">
        <v>114</v>
      </c>
      <c r="N737">
        <v>50</v>
      </c>
      <c r="O737" t="s">
        <v>30</v>
      </c>
      <c r="P737" t="s">
        <v>57</v>
      </c>
      <c r="Q737" t="s">
        <v>108</v>
      </c>
      <c r="R737" s="7">
        <v>2.5</v>
      </c>
      <c r="S737" s="7">
        <v>5</v>
      </c>
      <c r="T737" t="s">
        <v>125</v>
      </c>
    </row>
    <row r="738" spans="1:20" x14ac:dyDescent="0.3">
      <c r="A738">
        <v>737</v>
      </c>
      <c r="B738" s="1">
        <v>44928</v>
      </c>
      <c r="C738">
        <v>2023</v>
      </c>
      <c r="D738">
        <v>1</v>
      </c>
      <c r="E738" t="s">
        <v>20</v>
      </c>
      <c r="F738">
        <v>2</v>
      </c>
      <c r="G738" t="s">
        <v>124</v>
      </c>
      <c r="H738" s="2">
        <v>46203.605775462966</v>
      </c>
      <c r="I738">
        <v>12</v>
      </c>
      <c r="J738" t="s">
        <v>120</v>
      </c>
      <c r="K738" s="8">
        <v>1</v>
      </c>
      <c r="L738">
        <v>8</v>
      </c>
      <c r="M738" t="s">
        <v>64</v>
      </c>
      <c r="N738">
        <v>57</v>
      </c>
      <c r="O738" t="s">
        <v>30</v>
      </c>
      <c r="P738" t="s">
        <v>31</v>
      </c>
      <c r="Q738" t="s">
        <v>32</v>
      </c>
      <c r="R738" s="7">
        <v>3.1</v>
      </c>
      <c r="S738" s="7">
        <v>3.1</v>
      </c>
      <c r="T738" t="s">
        <v>125</v>
      </c>
    </row>
    <row r="739" spans="1:20" x14ac:dyDescent="0.3">
      <c r="A739">
        <v>738</v>
      </c>
      <c r="B739" s="1">
        <v>44928</v>
      </c>
      <c r="C739">
        <v>2023</v>
      </c>
      <c r="D739">
        <v>1</v>
      </c>
      <c r="E739" t="s">
        <v>20</v>
      </c>
      <c r="F739">
        <v>2</v>
      </c>
      <c r="G739" t="s">
        <v>124</v>
      </c>
      <c r="H739" s="2">
        <v>46203.606296296297</v>
      </c>
      <c r="I739">
        <v>12</v>
      </c>
      <c r="J739" t="s">
        <v>120</v>
      </c>
      <c r="K739" s="8">
        <v>2</v>
      </c>
      <c r="L739">
        <v>3</v>
      </c>
      <c r="M739" t="s">
        <v>114</v>
      </c>
      <c r="N739">
        <v>32</v>
      </c>
      <c r="O739" t="s">
        <v>24</v>
      </c>
      <c r="P739" t="s">
        <v>25</v>
      </c>
      <c r="Q739" t="s">
        <v>26</v>
      </c>
      <c r="R739" s="7">
        <v>3</v>
      </c>
      <c r="S739" s="7">
        <v>6</v>
      </c>
      <c r="T739" t="s">
        <v>125</v>
      </c>
    </row>
    <row r="740" spans="1:20" x14ac:dyDescent="0.3">
      <c r="A740">
        <v>739</v>
      </c>
      <c r="B740" s="1">
        <v>44928</v>
      </c>
      <c r="C740">
        <v>2023</v>
      </c>
      <c r="D740">
        <v>1</v>
      </c>
      <c r="E740" t="s">
        <v>20</v>
      </c>
      <c r="F740">
        <v>2</v>
      </c>
      <c r="G740" t="s">
        <v>124</v>
      </c>
      <c r="H740" s="2">
        <v>46203.606944444444</v>
      </c>
      <c r="I740">
        <v>12</v>
      </c>
      <c r="J740" t="s">
        <v>120</v>
      </c>
      <c r="K740" s="8">
        <v>1</v>
      </c>
      <c r="L740">
        <v>3</v>
      </c>
      <c r="M740" t="s">
        <v>114</v>
      </c>
      <c r="N740">
        <v>24</v>
      </c>
      <c r="O740" t="s">
        <v>24</v>
      </c>
      <c r="P740" t="s">
        <v>40</v>
      </c>
      <c r="Q740" t="s">
        <v>89</v>
      </c>
      <c r="R740" s="7">
        <v>3</v>
      </c>
      <c r="S740" s="7">
        <v>3</v>
      </c>
      <c r="T740" t="s">
        <v>125</v>
      </c>
    </row>
    <row r="741" spans="1:20" x14ac:dyDescent="0.3">
      <c r="A741">
        <v>740</v>
      </c>
      <c r="B741" s="1">
        <v>44928</v>
      </c>
      <c r="C741">
        <v>2023</v>
      </c>
      <c r="D741">
        <v>1</v>
      </c>
      <c r="E741" t="s">
        <v>20</v>
      </c>
      <c r="F741">
        <v>2</v>
      </c>
      <c r="G741" t="s">
        <v>124</v>
      </c>
      <c r="H741" s="2">
        <v>46203.608402777776</v>
      </c>
      <c r="I741">
        <v>12</v>
      </c>
      <c r="J741" t="s">
        <v>120</v>
      </c>
      <c r="K741" s="8">
        <v>1</v>
      </c>
      <c r="L741">
        <v>8</v>
      </c>
      <c r="M741" t="s">
        <v>64</v>
      </c>
      <c r="N741">
        <v>43</v>
      </c>
      <c r="O741" t="s">
        <v>30</v>
      </c>
      <c r="P741" t="s">
        <v>65</v>
      </c>
      <c r="Q741" t="s">
        <v>75</v>
      </c>
      <c r="R741" s="7">
        <v>3</v>
      </c>
      <c r="S741" s="7">
        <v>3</v>
      </c>
      <c r="T741" t="s">
        <v>125</v>
      </c>
    </row>
    <row r="742" spans="1:20" x14ac:dyDescent="0.3">
      <c r="A742">
        <v>741</v>
      </c>
      <c r="B742" s="1">
        <v>44928</v>
      </c>
      <c r="C742">
        <v>2023</v>
      </c>
      <c r="D742">
        <v>1</v>
      </c>
      <c r="E742" t="s">
        <v>20</v>
      </c>
      <c r="F742">
        <v>2</v>
      </c>
      <c r="G742" t="s">
        <v>124</v>
      </c>
      <c r="H742" s="2">
        <v>46203.608761574076</v>
      </c>
      <c r="I742">
        <v>12</v>
      </c>
      <c r="J742" t="s">
        <v>120</v>
      </c>
      <c r="K742" s="8">
        <v>1</v>
      </c>
      <c r="L742">
        <v>5</v>
      </c>
      <c r="M742" t="s">
        <v>23</v>
      </c>
      <c r="N742">
        <v>25</v>
      </c>
      <c r="O742" t="s">
        <v>24</v>
      </c>
      <c r="P742" t="s">
        <v>82</v>
      </c>
      <c r="Q742" t="s">
        <v>96</v>
      </c>
      <c r="R742" s="7">
        <v>2.2000000000000002</v>
      </c>
      <c r="S742" s="7">
        <v>2.2000000000000002</v>
      </c>
      <c r="T742" t="s">
        <v>125</v>
      </c>
    </row>
    <row r="743" spans="1:20" x14ac:dyDescent="0.3">
      <c r="A743">
        <v>742</v>
      </c>
      <c r="B743" s="1">
        <v>44928</v>
      </c>
      <c r="C743">
        <v>2023</v>
      </c>
      <c r="D743">
        <v>1</v>
      </c>
      <c r="E743" t="s">
        <v>20</v>
      </c>
      <c r="F743">
        <v>2</v>
      </c>
      <c r="G743" t="s">
        <v>124</v>
      </c>
      <c r="H743" s="2">
        <v>46203.610266203701</v>
      </c>
      <c r="I743">
        <v>12</v>
      </c>
      <c r="J743" t="s">
        <v>120</v>
      </c>
      <c r="K743" s="8">
        <v>2</v>
      </c>
      <c r="L743">
        <v>8</v>
      </c>
      <c r="M743" t="s">
        <v>64</v>
      </c>
      <c r="N743">
        <v>87</v>
      </c>
      <c r="O743" t="s">
        <v>24</v>
      </c>
      <c r="P743" t="s">
        <v>48</v>
      </c>
      <c r="Q743" t="s">
        <v>59</v>
      </c>
      <c r="R743" s="7">
        <v>3</v>
      </c>
      <c r="S743" s="7">
        <v>6</v>
      </c>
      <c r="T743" t="s">
        <v>125</v>
      </c>
    </row>
    <row r="744" spans="1:20" x14ac:dyDescent="0.3">
      <c r="A744">
        <v>743</v>
      </c>
      <c r="B744" s="1">
        <v>44928</v>
      </c>
      <c r="C744">
        <v>2023</v>
      </c>
      <c r="D744">
        <v>1</v>
      </c>
      <c r="E744" t="s">
        <v>20</v>
      </c>
      <c r="F744">
        <v>2</v>
      </c>
      <c r="G744" t="s">
        <v>124</v>
      </c>
      <c r="H744" s="2">
        <v>46203.610312500001</v>
      </c>
      <c r="I744">
        <v>12</v>
      </c>
      <c r="J744" t="s">
        <v>120</v>
      </c>
      <c r="K744" s="8">
        <v>1</v>
      </c>
      <c r="L744">
        <v>3</v>
      </c>
      <c r="M744" t="s">
        <v>114</v>
      </c>
      <c r="N744">
        <v>56</v>
      </c>
      <c r="O744" t="s">
        <v>30</v>
      </c>
      <c r="P744" t="s">
        <v>31</v>
      </c>
      <c r="Q744" t="s">
        <v>54</v>
      </c>
      <c r="R744" s="7">
        <v>2.5499999999999998</v>
      </c>
      <c r="S744" s="7">
        <v>2.5499999999999998</v>
      </c>
      <c r="T744" t="s">
        <v>125</v>
      </c>
    </row>
    <row r="745" spans="1:20" x14ac:dyDescent="0.3">
      <c r="A745">
        <v>744</v>
      </c>
      <c r="B745" s="1">
        <v>44928</v>
      </c>
      <c r="C745">
        <v>2023</v>
      </c>
      <c r="D745">
        <v>1</v>
      </c>
      <c r="E745" t="s">
        <v>20</v>
      </c>
      <c r="F745">
        <v>2</v>
      </c>
      <c r="G745" t="s">
        <v>124</v>
      </c>
      <c r="H745" s="2">
        <v>46203.610462962963</v>
      </c>
      <c r="I745">
        <v>12</v>
      </c>
      <c r="J745" t="s">
        <v>120</v>
      </c>
      <c r="K745" s="8">
        <v>2</v>
      </c>
      <c r="L745">
        <v>5</v>
      </c>
      <c r="M745" t="s">
        <v>23</v>
      </c>
      <c r="N745">
        <v>87</v>
      </c>
      <c r="O745" t="s">
        <v>24</v>
      </c>
      <c r="P745" t="s">
        <v>48</v>
      </c>
      <c r="Q745" t="s">
        <v>59</v>
      </c>
      <c r="R745" s="7">
        <v>3</v>
      </c>
      <c r="S745" s="7">
        <v>6</v>
      </c>
      <c r="T745" t="s">
        <v>125</v>
      </c>
    </row>
    <row r="746" spans="1:20" x14ac:dyDescent="0.3">
      <c r="A746">
        <v>745</v>
      </c>
      <c r="B746" s="1">
        <v>44928</v>
      </c>
      <c r="C746">
        <v>2023</v>
      </c>
      <c r="D746">
        <v>1</v>
      </c>
      <c r="E746" t="s">
        <v>20</v>
      </c>
      <c r="F746">
        <v>2</v>
      </c>
      <c r="G746" t="s">
        <v>124</v>
      </c>
      <c r="H746" s="2">
        <v>46203.612129629626</v>
      </c>
      <c r="I746">
        <v>12</v>
      </c>
      <c r="J746" t="s">
        <v>120</v>
      </c>
      <c r="K746" s="8">
        <v>1</v>
      </c>
      <c r="L746">
        <v>8</v>
      </c>
      <c r="M746" t="s">
        <v>64</v>
      </c>
      <c r="N746">
        <v>87</v>
      </c>
      <c r="O746" t="s">
        <v>24</v>
      </c>
      <c r="P746" t="s">
        <v>48</v>
      </c>
      <c r="Q746" t="s">
        <v>59</v>
      </c>
      <c r="R746" s="7">
        <v>3</v>
      </c>
      <c r="S746" s="7">
        <v>3</v>
      </c>
      <c r="T746" t="s">
        <v>125</v>
      </c>
    </row>
    <row r="747" spans="1:20" x14ac:dyDescent="0.3">
      <c r="A747">
        <v>746</v>
      </c>
      <c r="B747" s="1">
        <v>44928</v>
      </c>
      <c r="C747">
        <v>2023</v>
      </c>
      <c r="D747">
        <v>1</v>
      </c>
      <c r="E747" t="s">
        <v>20</v>
      </c>
      <c r="F747">
        <v>2</v>
      </c>
      <c r="G747" t="s">
        <v>124</v>
      </c>
      <c r="H747" s="2">
        <v>46203.612719907411</v>
      </c>
      <c r="I747">
        <v>12</v>
      </c>
      <c r="J747" t="s">
        <v>120</v>
      </c>
      <c r="K747" s="8">
        <v>1</v>
      </c>
      <c r="L747">
        <v>5</v>
      </c>
      <c r="M747" t="s">
        <v>23</v>
      </c>
      <c r="N747">
        <v>52</v>
      </c>
      <c r="O747" t="s">
        <v>30</v>
      </c>
      <c r="P747" t="s">
        <v>31</v>
      </c>
      <c r="Q747" t="s">
        <v>118</v>
      </c>
      <c r="R747" s="7">
        <v>2.5</v>
      </c>
      <c r="S747" s="7">
        <v>2.5</v>
      </c>
      <c r="T747" t="s">
        <v>125</v>
      </c>
    </row>
    <row r="748" spans="1:20" x14ac:dyDescent="0.3">
      <c r="A748">
        <v>747</v>
      </c>
      <c r="B748" s="1">
        <v>44928</v>
      </c>
      <c r="C748">
        <v>2023</v>
      </c>
      <c r="D748">
        <v>1</v>
      </c>
      <c r="E748" t="s">
        <v>20</v>
      </c>
      <c r="F748">
        <v>2</v>
      </c>
      <c r="G748" t="s">
        <v>124</v>
      </c>
      <c r="H748" s="2">
        <v>46203.613043981481</v>
      </c>
      <c r="I748">
        <v>12</v>
      </c>
      <c r="J748" t="s">
        <v>120</v>
      </c>
      <c r="K748" s="8">
        <v>1</v>
      </c>
      <c r="L748">
        <v>8</v>
      </c>
      <c r="M748" t="s">
        <v>64</v>
      </c>
      <c r="N748">
        <v>60</v>
      </c>
      <c r="O748" t="s">
        <v>35</v>
      </c>
      <c r="P748" t="s">
        <v>36</v>
      </c>
      <c r="Q748" t="s">
        <v>90</v>
      </c>
      <c r="R748" s="7">
        <v>3.75</v>
      </c>
      <c r="S748" s="7">
        <v>3.75</v>
      </c>
      <c r="T748" t="s">
        <v>125</v>
      </c>
    </row>
    <row r="749" spans="1:20" x14ac:dyDescent="0.3">
      <c r="A749">
        <v>748</v>
      </c>
      <c r="B749" s="1">
        <v>44928</v>
      </c>
      <c r="C749">
        <v>2023</v>
      </c>
      <c r="D749">
        <v>1</v>
      </c>
      <c r="E749" t="s">
        <v>20</v>
      </c>
      <c r="F749">
        <v>2</v>
      </c>
      <c r="G749" t="s">
        <v>124</v>
      </c>
      <c r="H749" s="2">
        <v>46203.614606481482</v>
      </c>
      <c r="I749">
        <v>12</v>
      </c>
      <c r="J749" t="s">
        <v>120</v>
      </c>
      <c r="K749" s="8">
        <v>1</v>
      </c>
      <c r="L749">
        <v>5</v>
      </c>
      <c r="M749" t="s">
        <v>23</v>
      </c>
      <c r="N749">
        <v>26</v>
      </c>
      <c r="O749" t="s">
        <v>24</v>
      </c>
      <c r="P749" t="s">
        <v>82</v>
      </c>
      <c r="Q749" t="s">
        <v>83</v>
      </c>
      <c r="R749" s="7">
        <v>3</v>
      </c>
      <c r="S749" s="7">
        <v>3</v>
      </c>
      <c r="T749" t="s">
        <v>125</v>
      </c>
    </row>
    <row r="750" spans="1:20" x14ac:dyDescent="0.3">
      <c r="A750">
        <v>749</v>
      </c>
      <c r="B750" s="1">
        <v>44928</v>
      </c>
      <c r="C750">
        <v>2023</v>
      </c>
      <c r="D750">
        <v>1</v>
      </c>
      <c r="E750" t="s">
        <v>20</v>
      </c>
      <c r="F750">
        <v>2</v>
      </c>
      <c r="G750" t="s">
        <v>124</v>
      </c>
      <c r="H750" s="2">
        <v>46203.615324074075</v>
      </c>
      <c r="I750">
        <v>12</v>
      </c>
      <c r="J750" t="s">
        <v>120</v>
      </c>
      <c r="K750" s="8">
        <v>2</v>
      </c>
      <c r="L750">
        <v>3</v>
      </c>
      <c r="M750" t="s">
        <v>114</v>
      </c>
      <c r="N750">
        <v>46</v>
      </c>
      <c r="O750" t="s">
        <v>30</v>
      </c>
      <c r="P750" t="s">
        <v>60</v>
      </c>
      <c r="Q750" t="s">
        <v>95</v>
      </c>
      <c r="R750" s="7">
        <v>2.5</v>
      </c>
      <c r="S750" s="7">
        <v>5</v>
      </c>
      <c r="T750" t="s">
        <v>125</v>
      </c>
    </row>
    <row r="751" spans="1:20" x14ac:dyDescent="0.3">
      <c r="A751">
        <v>750</v>
      </c>
      <c r="B751" s="1">
        <v>44928</v>
      </c>
      <c r="C751">
        <v>2023</v>
      </c>
      <c r="D751">
        <v>1</v>
      </c>
      <c r="E751" t="s">
        <v>20</v>
      </c>
      <c r="F751">
        <v>2</v>
      </c>
      <c r="G751" t="s">
        <v>124</v>
      </c>
      <c r="H751" s="2">
        <v>46203.616539351853</v>
      </c>
      <c r="I751">
        <v>12</v>
      </c>
      <c r="J751" t="s">
        <v>120</v>
      </c>
      <c r="K751" s="8">
        <v>2</v>
      </c>
      <c r="L751">
        <v>3</v>
      </c>
      <c r="M751" t="s">
        <v>114</v>
      </c>
      <c r="N751">
        <v>46</v>
      </c>
      <c r="O751" t="s">
        <v>30</v>
      </c>
      <c r="P751" t="s">
        <v>60</v>
      </c>
      <c r="Q751" t="s">
        <v>95</v>
      </c>
      <c r="R751" s="7">
        <v>2.5</v>
      </c>
      <c r="S751" s="7">
        <v>5</v>
      </c>
      <c r="T751" t="s">
        <v>125</v>
      </c>
    </row>
    <row r="752" spans="1:20" x14ac:dyDescent="0.3">
      <c r="A752">
        <v>751</v>
      </c>
      <c r="B752" s="1">
        <v>44928</v>
      </c>
      <c r="C752">
        <v>2023</v>
      </c>
      <c r="D752">
        <v>1</v>
      </c>
      <c r="E752" t="s">
        <v>20</v>
      </c>
      <c r="F752">
        <v>2</v>
      </c>
      <c r="G752" t="s">
        <v>124</v>
      </c>
      <c r="H752" s="2">
        <v>46203.620324074072</v>
      </c>
      <c r="I752">
        <v>12</v>
      </c>
      <c r="J752" t="s">
        <v>120</v>
      </c>
      <c r="K752" s="8">
        <v>2</v>
      </c>
      <c r="L752">
        <v>8</v>
      </c>
      <c r="M752" t="s">
        <v>64</v>
      </c>
      <c r="N752">
        <v>22</v>
      </c>
      <c r="O752" t="s">
        <v>24</v>
      </c>
      <c r="P752" t="s">
        <v>40</v>
      </c>
      <c r="Q752" t="s">
        <v>41</v>
      </c>
      <c r="R752" s="7">
        <v>2</v>
      </c>
      <c r="S752" s="7">
        <v>4</v>
      </c>
      <c r="T752" t="s">
        <v>125</v>
      </c>
    </row>
    <row r="753" spans="1:20" x14ac:dyDescent="0.3">
      <c r="A753">
        <v>752</v>
      </c>
      <c r="B753" s="1">
        <v>44928</v>
      </c>
      <c r="C753">
        <v>2023</v>
      </c>
      <c r="D753">
        <v>1</v>
      </c>
      <c r="E753" t="s">
        <v>20</v>
      </c>
      <c r="F753">
        <v>2</v>
      </c>
      <c r="G753" t="s">
        <v>124</v>
      </c>
      <c r="H753" s="2">
        <v>46203.62091435185</v>
      </c>
      <c r="I753">
        <v>12</v>
      </c>
      <c r="J753" t="s">
        <v>120</v>
      </c>
      <c r="K753" s="8">
        <v>1</v>
      </c>
      <c r="L753">
        <v>5</v>
      </c>
      <c r="M753" t="s">
        <v>23</v>
      </c>
      <c r="N753">
        <v>58</v>
      </c>
      <c r="O753" t="s">
        <v>35</v>
      </c>
      <c r="P753" t="s">
        <v>36</v>
      </c>
      <c r="Q753" t="s">
        <v>51</v>
      </c>
      <c r="R753" s="7">
        <v>3.5</v>
      </c>
      <c r="S753" s="7">
        <v>3.5</v>
      </c>
      <c r="T753" t="s">
        <v>125</v>
      </c>
    </row>
    <row r="754" spans="1:20" x14ac:dyDescent="0.3">
      <c r="A754">
        <v>753</v>
      </c>
      <c r="B754" s="1">
        <v>44928</v>
      </c>
      <c r="C754">
        <v>2023</v>
      </c>
      <c r="D754">
        <v>1</v>
      </c>
      <c r="E754" t="s">
        <v>20</v>
      </c>
      <c r="F754">
        <v>2</v>
      </c>
      <c r="G754" t="s">
        <v>124</v>
      </c>
      <c r="H754" s="2">
        <v>46203.62091435185</v>
      </c>
      <c r="I754">
        <v>12</v>
      </c>
      <c r="J754" t="s">
        <v>120</v>
      </c>
      <c r="K754" s="8">
        <v>1</v>
      </c>
      <c r="L754">
        <v>5</v>
      </c>
      <c r="M754" t="s">
        <v>23</v>
      </c>
      <c r="N754">
        <v>77</v>
      </c>
      <c r="O754" t="s">
        <v>43</v>
      </c>
      <c r="P754" t="s">
        <v>44</v>
      </c>
      <c r="Q754" t="s">
        <v>45</v>
      </c>
      <c r="R754" s="7">
        <v>3</v>
      </c>
      <c r="S754" s="7">
        <v>3</v>
      </c>
      <c r="T754" t="s">
        <v>125</v>
      </c>
    </row>
    <row r="755" spans="1:20" x14ac:dyDescent="0.3">
      <c r="A755">
        <v>754</v>
      </c>
      <c r="B755" s="1">
        <v>44928</v>
      </c>
      <c r="C755">
        <v>2023</v>
      </c>
      <c r="D755">
        <v>1</v>
      </c>
      <c r="E755" t="s">
        <v>20</v>
      </c>
      <c r="F755">
        <v>2</v>
      </c>
      <c r="G755" t="s">
        <v>124</v>
      </c>
      <c r="H755" s="2">
        <v>46203.621446759258</v>
      </c>
      <c r="I755">
        <v>12</v>
      </c>
      <c r="J755" t="s">
        <v>120</v>
      </c>
      <c r="K755" s="8">
        <v>2</v>
      </c>
      <c r="L755">
        <v>5</v>
      </c>
      <c r="M755" t="s">
        <v>23</v>
      </c>
      <c r="N755">
        <v>52</v>
      </c>
      <c r="O755" t="s">
        <v>30</v>
      </c>
      <c r="P755" t="s">
        <v>31</v>
      </c>
      <c r="Q755" t="s">
        <v>118</v>
      </c>
      <c r="R755" s="7">
        <v>2.5</v>
      </c>
      <c r="S755" s="7">
        <v>5</v>
      </c>
      <c r="T755" t="s">
        <v>125</v>
      </c>
    </row>
    <row r="756" spans="1:20" x14ac:dyDescent="0.3">
      <c r="A756">
        <v>755</v>
      </c>
      <c r="B756" s="1">
        <v>44928</v>
      </c>
      <c r="C756">
        <v>2023</v>
      </c>
      <c r="D756">
        <v>1</v>
      </c>
      <c r="E756" t="s">
        <v>20</v>
      </c>
      <c r="F756">
        <v>2</v>
      </c>
      <c r="G756" t="s">
        <v>124</v>
      </c>
      <c r="H756" s="2">
        <v>46203.621747685182</v>
      </c>
      <c r="I756">
        <v>12</v>
      </c>
      <c r="J756" t="s">
        <v>120</v>
      </c>
      <c r="K756" s="8">
        <v>1</v>
      </c>
      <c r="L756">
        <v>3</v>
      </c>
      <c r="M756" t="s">
        <v>114</v>
      </c>
      <c r="N756">
        <v>52</v>
      </c>
      <c r="O756" t="s">
        <v>30</v>
      </c>
      <c r="P756" t="s">
        <v>31</v>
      </c>
      <c r="Q756" t="s">
        <v>118</v>
      </c>
      <c r="R756" s="7">
        <v>2.5</v>
      </c>
      <c r="S756" s="7">
        <v>2.5</v>
      </c>
      <c r="T756" t="s">
        <v>125</v>
      </c>
    </row>
    <row r="757" spans="1:20" x14ac:dyDescent="0.3">
      <c r="A757">
        <v>756</v>
      </c>
      <c r="B757" s="1">
        <v>44928</v>
      </c>
      <c r="C757">
        <v>2023</v>
      </c>
      <c r="D757">
        <v>1</v>
      </c>
      <c r="E757" t="s">
        <v>20</v>
      </c>
      <c r="F757">
        <v>2</v>
      </c>
      <c r="G757" t="s">
        <v>124</v>
      </c>
      <c r="H757" s="2">
        <v>46203.623553240737</v>
      </c>
      <c r="I757">
        <v>12</v>
      </c>
      <c r="J757" t="s">
        <v>120</v>
      </c>
      <c r="K757" s="8">
        <v>2</v>
      </c>
      <c r="L757">
        <v>8</v>
      </c>
      <c r="M757" t="s">
        <v>64</v>
      </c>
      <c r="N757">
        <v>30</v>
      </c>
      <c r="O757" t="s">
        <v>24</v>
      </c>
      <c r="P757" t="s">
        <v>25</v>
      </c>
      <c r="Q757" t="s">
        <v>119</v>
      </c>
      <c r="R757" s="7">
        <v>3</v>
      </c>
      <c r="S757" s="7">
        <v>6</v>
      </c>
      <c r="T757" t="s">
        <v>125</v>
      </c>
    </row>
    <row r="758" spans="1:20" x14ac:dyDescent="0.3">
      <c r="A758">
        <v>757</v>
      </c>
      <c r="B758" s="1">
        <v>44928</v>
      </c>
      <c r="C758">
        <v>2023</v>
      </c>
      <c r="D758">
        <v>1</v>
      </c>
      <c r="E758" t="s">
        <v>20</v>
      </c>
      <c r="F758">
        <v>2</v>
      </c>
      <c r="G758" t="s">
        <v>124</v>
      </c>
      <c r="H758" s="2">
        <v>46203.623657407406</v>
      </c>
      <c r="I758">
        <v>12</v>
      </c>
      <c r="J758" t="s">
        <v>120</v>
      </c>
      <c r="K758" s="8">
        <v>2</v>
      </c>
      <c r="L758">
        <v>3</v>
      </c>
      <c r="M758" t="s">
        <v>114</v>
      </c>
      <c r="N758">
        <v>53</v>
      </c>
      <c r="O758" t="s">
        <v>30</v>
      </c>
      <c r="P758" t="s">
        <v>31</v>
      </c>
      <c r="Q758" t="s">
        <v>104</v>
      </c>
      <c r="R758" s="7">
        <v>3</v>
      </c>
      <c r="S758" s="7">
        <v>6</v>
      </c>
      <c r="T758" t="s">
        <v>125</v>
      </c>
    </row>
    <row r="759" spans="1:20" x14ac:dyDescent="0.3">
      <c r="A759">
        <v>758</v>
      </c>
      <c r="B759" s="1">
        <v>44928</v>
      </c>
      <c r="C759">
        <v>2023</v>
      </c>
      <c r="D759">
        <v>1</v>
      </c>
      <c r="E759" t="s">
        <v>20</v>
      </c>
      <c r="F759">
        <v>2</v>
      </c>
      <c r="G759" t="s">
        <v>124</v>
      </c>
      <c r="H759" s="2">
        <v>46203.624050925922</v>
      </c>
      <c r="I759">
        <v>12</v>
      </c>
      <c r="J759" t="s">
        <v>120</v>
      </c>
      <c r="K759" s="8">
        <v>2</v>
      </c>
      <c r="L759">
        <v>8</v>
      </c>
      <c r="M759" t="s">
        <v>64</v>
      </c>
      <c r="N759">
        <v>26</v>
      </c>
      <c r="O759" t="s">
        <v>24</v>
      </c>
      <c r="P759" t="s">
        <v>82</v>
      </c>
      <c r="Q759" t="s">
        <v>83</v>
      </c>
      <c r="R759" s="7">
        <v>3</v>
      </c>
      <c r="S759" s="7">
        <v>6</v>
      </c>
      <c r="T759" t="s">
        <v>125</v>
      </c>
    </row>
    <row r="760" spans="1:20" x14ac:dyDescent="0.3">
      <c r="A760">
        <v>759</v>
      </c>
      <c r="B760" s="1">
        <v>44928</v>
      </c>
      <c r="C760">
        <v>2023</v>
      </c>
      <c r="D760">
        <v>1</v>
      </c>
      <c r="E760" t="s">
        <v>20</v>
      </c>
      <c r="F760">
        <v>2</v>
      </c>
      <c r="G760" t="s">
        <v>124</v>
      </c>
      <c r="H760" s="2">
        <v>46203.62427083333</v>
      </c>
      <c r="I760">
        <v>12</v>
      </c>
      <c r="J760" t="s">
        <v>120</v>
      </c>
      <c r="K760" s="8">
        <v>1</v>
      </c>
      <c r="L760">
        <v>8</v>
      </c>
      <c r="M760" t="s">
        <v>64</v>
      </c>
      <c r="N760">
        <v>35</v>
      </c>
      <c r="O760" t="s">
        <v>24</v>
      </c>
      <c r="P760" t="s">
        <v>99</v>
      </c>
      <c r="Q760" t="s">
        <v>110</v>
      </c>
      <c r="R760" s="7">
        <v>3.1</v>
      </c>
      <c r="S760" s="7">
        <v>3.1</v>
      </c>
      <c r="T760" t="s">
        <v>125</v>
      </c>
    </row>
    <row r="761" spans="1:20" x14ac:dyDescent="0.3">
      <c r="A761">
        <v>760</v>
      </c>
      <c r="B761" s="1">
        <v>44928</v>
      </c>
      <c r="C761">
        <v>2023</v>
      </c>
      <c r="D761">
        <v>1</v>
      </c>
      <c r="E761" t="s">
        <v>20</v>
      </c>
      <c r="F761">
        <v>2</v>
      </c>
      <c r="G761" t="s">
        <v>124</v>
      </c>
      <c r="H761" s="2">
        <v>46203.62462962963</v>
      </c>
      <c r="I761">
        <v>12</v>
      </c>
      <c r="J761" t="s">
        <v>120</v>
      </c>
      <c r="K761" s="8">
        <v>1</v>
      </c>
      <c r="L761">
        <v>8</v>
      </c>
      <c r="M761" t="s">
        <v>64</v>
      </c>
      <c r="N761">
        <v>47</v>
      </c>
      <c r="O761" t="s">
        <v>30</v>
      </c>
      <c r="P761" t="s">
        <v>60</v>
      </c>
      <c r="Q761" t="s">
        <v>61</v>
      </c>
      <c r="R761" s="7">
        <v>3</v>
      </c>
      <c r="S761" s="7">
        <v>3</v>
      </c>
      <c r="T761" t="s">
        <v>125</v>
      </c>
    </row>
    <row r="762" spans="1:20" x14ac:dyDescent="0.3">
      <c r="A762">
        <v>761</v>
      </c>
      <c r="B762" s="1">
        <v>44928</v>
      </c>
      <c r="C762">
        <v>2023</v>
      </c>
      <c r="D762">
        <v>1</v>
      </c>
      <c r="E762" t="s">
        <v>20</v>
      </c>
      <c r="F762">
        <v>2</v>
      </c>
      <c r="G762" t="s">
        <v>124</v>
      </c>
      <c r="H762" s="2">
        <v>46203.624826388892</v>
      </c>
      <c r="I762">
        <v>12</v>
      </c>
      <c r="J762" t="s">
        <v>120</v>
      </c>
      <c r="K762" s="8">
        <v>2</v>
      </c>
      <c r="L762">
        <v>3</v>
      </c>
      <c r="M762" t="s">
        <v>114</v>
      </c>
      <c r="N762">
        <v>24</v>
      </c>
      <c r="O762" t="s">
        <v>24</v>
      </c>
      <c r="P762" t="s">
        <v>40</v>
      </c>
      <c r="Q762" t="s">
        <v>89</v>
      </c>
      <c r="R762" s="7">
        <v>3</v>
      </c>
      <c r="S762" s="7">
        <v>6</v>
      </c>
      <c r="T762" t="s">
        <v>125</v>
      </c>
    </row>
    <row r="763" spans="1:20" x14ac:dyDescent="0.3">
      <c r="A763">
        <v>762</v>
      </c>
      <c r="B763" s="1">
        <v>44928</v>
      </c>
      <c r="C763">
        <v>2023</v>
      </c>
      <c r="D763">
        <v>1</v>
      </c>
      <c r="E763" t="s">
        <v>20</v>
      </c>
      <c r="F763">
        <v>2</v>
      </c>
      <c r="G763" t="s">
        <v>124</v>
      </c>
      <c r="H763" s="2">
        <v>46203.626423611109</v>
      </c>
      <c r="I763">
        <v>13</v>
      </c>
      <c r="J763" t="s">
        <v>120</v>
      </c>
      <c r="K763" s="8">
        <v>2</v>
      </c>
      <c r="L763">
        <v>3</v>
      </c>
      <c r="M763" t="s">
        <v>114</v>
      </c>
      <c r="N763">
        <v>27</v>
      </c>
      <c r="O763" t="s">
        <v>24</v>
      </c>
      <c r="P763" t="s">
        <v>82</v>
      </c>
      <c r="Q763" t="s">
        <v>84</v>
      </c>
      <c r="R763" s="7">
        <v>3.5</v>
      </c>
      <c r="S763" s="7">
        <v>7</v>
      </c>
      <c r="T763" t="s">
        <v>125</v>
      </c>
    </row>
    <row r="764" spans="1:20" x14ac:dyDescent="0.3">
      <c r="A764">
        <v>763</v>
      </c>
      <c r="B764" s="1">
        <v>44928</v>
      </c>
      <c r="C764">
        <v>2023</v>
      </c>
      <c r="D764">
        <v>1</v>
      </c>
      <c r="E764" t="s">
        <v>20</v>
      </c>
      <c r="F764">
        <v>2</v>
      </c>
      <c r="G764" t="s">
        <v>124</v>
      </c>
      <c r="H764" s="2">
        <v>46203.627245370371</v>
      </c>
      <c r="I764">
        <v>13</v>
      </c>
      <c r="J764" t="s">
        <v>120</v>
      </c>
      <c r="K764" s="8">
        <v>2</v>
      </c>
      <c r="L764">
        <v>8</v>
      </c>
      <c r="M764" t="s">
        <v>64</v>
      </c>
      <c r="N764">
        <v>40</v>
      </c>
      <c r="O764" t="s">
        <v>24</v>
      </c>
      <c r="P764" t="s">
        <v>48</v>
      </c>
      <c r="Q764" t="s">
        <v>74</v>
      </c>
      <c r="R764" s="7">
        <v>3.75</v>
      </c>
      <c r="S764" s="7">
        <v>7.5</v>
      </c>
      <c r="T764" t="s">
        <v>125</v>
      </c>
    </row>
    <row r="765" spans="1:20" x14ac:dyDescent="0.3">
      <c r="A765">
        <v>764</v>
      </c>
      <c r="B765" s="1">
        <v>44928</v>
      </c>
      <c r="C765">
        <v>2023</v>
      </c>
      <c r="D765">
        <v>1</v>
      </c>
      <c r="E765" t="s">
        <v>20</v>
      </c>
      <c r="F765">
        <v>2</v>
      </c>
      <c r="G765" t="s">
        <v>124</v>
      </c>
      <c r="H765" s="2">
        <v>46203.627245370371</v>
      </c>
      <c r="I765">
        <v>13</v>
      </c>
      <c r="J765" t="s">
        <v>120</v>
      </c>
      <c r="K765" s="8">
        <v>1</v>
      </c>
      <c r="L765">
        <v>8</v>
      </c>
      <c r="M765" t="s">
        <v>64</v>
      </c>
      <c r="N765">
        <v>76</v>
      </c>
      <c r="O765" t="s">
        <v>43</v>
      </c>
      <c r="P765" t="s">
        <v>71</v>
      </c>
      <c r="Q765" t="s">
        <v>76</v>
      </c>
      <c r="R765" s="7">
        <v>3.5</v>
      </c>
      <c r="S765" s="7">
        <v>3.5</v>
      </c>
      <c r="T765" t="s">
        <v>125</v>
      </c>
    </row>
    <row r="766" spans="1:20" x14ac:dyDescent="0.3">
      <c r="A766">
        <v>765</v>
      </c>
      <c r="B766" s="1">
        <v>44928</v>
      </c>
      <c r="C766">
        <v>2023</v>
      </c>
      <c r="D766">
        <v>1</v>
      </c>
      <c r="E766" t="s">
        <v>20</v>
      </c>
      <c r="F766">
        <v>2</v>
      </c>
      <c r="G766" t="s">
        <v>124</v>
      </c>
      <c r="H766" s="2">
        <v>46203.627465277779</v>
      </c>
      <c r="I766">
        <v>13</v>
      </c>
      <c r="J766" t="s">
        <v>120</v>
      </c>
      <c r="K766" s="8">
        <v>2</v>
      </c>
      <c r="L766">
        <v>5</v>
      </c>
      <c r="M766" t="s">
        <v>23</v>
      </c>
      <c r="N766">
        <v>22</v>
      </c>
      <c r="O766" t="s">
        <v>24</v>
      </c>
      <c r="P766" t="s">
        <v>40</v>
      </c>
      <c r="Q766" t="s">
        <v>41</v>
      </c>
      <c r="R766" s="7">
        <v>2</v>
      </c>
      <c r="S766" s="7">
        <v>4</v>
      </c>
      <c r="T766" t="s">
        <v>125</v>
      </c>
    </row>
    <row r="767" spans="1:20" x14ac:dyDescent="0.3">
      <c r="A767">
        <v>766</v>
      </c>
      <c r="B767" s="1">
        <v>44928</v>
      </c>
      <c r="C767">
        <v>2023</v>
      </c>
      <c r="D767">
        <v>1</v>
      </c>
      <c r="E767" t="s">
        <v>20</v>
      </c>
      <c r="F767">
        <v>2</v>
      </c>
      <c r="G767" t="s">
        <v>124</v>
      </c>
      <c r="H767" s="2">
        <v>46203.627696759257</v>
      </c>
      <c r="I767">
        <v>13</v>
      </c>
      <c r="J767" t="s">
        <v>120</v>
      </c>
      <c r="K767" s="8">
        <v>2</v>
      </c>
      <c r="L767">
        <v>3</v>
      </c>
      <c r="M767" t="s">
        <v>114</v>
      </c>
      <c r="N767">
        <v>28</v>
      </c>
      <c r="O767" t="s">
        <v>24</v>
      </c>
      <c r="P767" t="s">
        <v>25</v>
      </c>
      <c r="Q767" t="s">
        <v>46</v>
      </c>
      <c r="R767" s="7">
        <v>2</v>
      </c>
      <c r="S767" s="7">
        <v>4</v>
      </c>
      <c r="T767" t="s">
        <v>125</v>
      </c>
    </row>
    <row r="768" spans="1:20" x14ac:dyDescent="0.3">
      <c r="A768">
        <v>767</v>
      </c>
      <c r="B768" s="1">
        <v>44928</v>
      </c>
      <c r="C768">
        <v>2023</v>
      </c>
      <c r="D768">
        <v>1</v>
      </c>
      <c r="E768" t="s">
        <v>20</v>
      </c>
      <c r="F768">
        <v>2</v>
      </c>
      <c r="G768" t="s">
        <v>124</v>
      </c>
      <c r="H768" s="2">
        <v>46203.627800925926</v>
      </c>
      <c r="I768">
        <v>13</v>
      </c>
      <c r="J768" t="s">
        <v>120</v>
      </c>
      <c r="K768" s="8">
        <v>1</v>
      </c>
      <c r="L768">
        <v>8</v>
      </c>
      <c r="M768" t="s">
        <v>64</v>
      </c>
      <c r="N768">
        <v>49</v>
      </c>
      <c r="O768" t="s">
        <v>30</v>
      </c>
      <c r="P768" t="s">
        <v>57</v>
      </c>
      <c r="Q768" t="s">
        <v>117</v>
      </c>
      <c r="R768" s="7">
        <v>3</v>
      </c>
      <c r="S768" s="7">
        <v>3</v>
      </c>
      <c r="T768" t="s">
        <v>125</v>
      </c>
    </row>
    <row r="769" spans="1:20" x14ac:dyDescent="0.3">
      <c r="A769">
        <v>768</v>
      </c>
      <c r="B769" s="1">
        <v>44928</v>
      </c>
      <c r="C769">
        <v>2023</v>
      </c>
      <c r="D769">
        <v>1</v>
      </c>
      <c r="E769" t="s">
        <v>20</v>
      </c>
      <c r="F769">
        <v>2</v>
      </c>
      <c r="G769" t="s">
        <v>124</v>
      </c>
      <c r="H769" s="2">
        <v>46203.628425925926</v>
      </c>
      <c r="I769">
        <v>13</v>
      </c>
      <c r="J769" t="s">
        <v>120</v>
      </c>
      <c r="K769" s="8">
        <v>2</v>
      </c>
      <c r="L769">
        <v>3</v>
      </c>
      <c r="M769" t="s">
        <v>114</v>
      </c>
      <c r="N769">
        <v>27</v>
      </c>
      <c r="O769" t="s">
        <v>24</v>
      </c>
      <c r="P769" t="s">
        <v>82</v>
      </c>
      <c r="Q769" t="s">
        <v>84</v>
      </c>
      <c r="R769" s="7">
        <v>3.5</v>
      </c>
      <c r="S769" s="7">
        <v>7</v>
      </c>
      <c r="T769" t="s">
        <v>125</v>
      </c>
    </row>
    <row r="770" spans="1:20" x14ac:dyDescent="0.3">
      <c r="A770">
        <v>769</v>
      </c>
      <c r="B770" s="1">
        <v>44928</v>
      </c>
      <c r="C770">
        <v>2023</v>
      </c>
      <c r="D770">
        <v>1</v>
      </c>
      <c r="E770" t="s">
        <v>20</v>
      </c>
      <c r="F770">
        <v>2</v>
      </c>
      <c r="G770" t="s">
        <v>124</v>
      </c>
      <c r="H770" s="2">
        <v>46203.628946759258</v>
      </c>
      <c r="I770">
        <v>13</v>
      </c>
      <c r="J770" t="s">
        <v>120</v>
      </c>
      <c r="K770" s="8">
        <v>1</v>
      </c>
      <c r="L770">
        <v>3</v>
      </c>
      <c r="M770" t="s">
        <v>114</v>
      </c>
      <c r="N770">
        <v>61</v>
      </c>
      <c r="O770" t="s">
        <v>35</v>
      </c>
      <c r="P770" t="s">
        <v>36</v>
      </c>
      <c r="Q770" t="s">
        <v>68</v>
      </c>
      <c r="R770" s="7">
        <v>4.75</v>
      </c>
      <c r="S770" s="7">
        <v>4.75</v>
      </c>
      <c r="T770" t="s">
        <v>125</v>
      </c>
    </row>
    <row r="771" spans="1:20" x14ac:dyDescent="0.3">
      <c r="A771">
        <v>770</v>
      </c>
      <c r="B771" s="1">
        <v>44928</v>
      </c>
      <c r="C771">
        <v>2023</v>
      </c>
      <c r="D771">
        <v>1</v>
      </c>
      <c r="E771" t="s">
        <v>20</v>
      </c>
      <c r="F771">
        <v>2</v>
      </c>
      <c r="G771" t="s">
        <v>124</v>
      </c>
      <c r="H771" s="2">
        <v>46203.631562499999</v>
      </c>
      <c r="I771">
        <v>13</v>
      </c>
      <c r="J771" t="s">
        <v>120</v>
      </c>
      <c r="K771" s="8">
        <v>1</v>
      </c>
      <c r="L771">
        <v>5</v>
      </c>
      <c r="M771" t="s">
        <v>23</v>
      </c>
      <c r="N771">
        <v>51</v>
      </c>
      <c r="O771" t="s">
        <v>30</v>
      </c>
      <c r="P771" t="s">
        <v>57</v>
      </c>
      <c r="Q771" t="s">
        <v>58</v>
      </c>
      <c r="R771" s="7">
        <v>3</v>
      </c>
      <c r="S771" s="7">
        <v>3</v>
      </c>
      <c r="T771" t="s">
        <v>125</v>
      </c>
    </row>
    <row r="772" spans="1:20" x14ac:dyDescent="0.3">
      <c r="A772">
        <v>771</v>
      </c>
      <c r="B772" s="1">
        <v>44928</v>
      </c>
      <c r="C772">
        <v>2023</v>
      </c>
      <c r="D772">
        <v>1</v>
      </c>
      <c r="E772" t="s">
        <v>20</v>
      </c>
      <c r="F772">
        <v>2</v>
      </c>
      <c r="G772" t="s">
        <v>124</v>
      </c>
      <c r="H772" s="2">
        <v>46203.631562499999</v>
      </c>
      <c r="I772">
        <v>13</v>
      </c>
      <c r="J772" t="s">
        <v>120</v>
      </c>
      <c r="K772" s="8">
        <v>1</v>
      </c>
      <c r="L772">
        <v>5</v>
      </c>
      <c r="M772" t="s">
        <v>23</v>
      </c>
      <c r="N772">
        <v>70</v>
      </c>
      <c r="O772" t="s">
        <v>43</v>
      </c>
      <c r="P772" t="s">
        <v>44</v>
      </c>
      <c r="Q772" t="s">
        <v>111</v>
      </c>
      <c r="R772" s="7">
        <v>3.25</v>
      </c>
      <c r="S772" s="7">
        <v>3.25</v>
      </c>
      <c r="T772" t="s">
        <v>125</v>
      </c>
    </row>
    <row r="773" spans="1:20" x14ac:dyDescent="0.3">
      <c r="A773">
        <v>772</v>
      </c>
      <c r="B773" s="1">
        <v>44928</v>
      </c>
      <c r="C773">
        <v>2023</v>
      </c>
      <c r="D773">
        <v>1</v>
      </c>
      <c r="E773" t="s">
        <v>20</v>
      </c>
      <c r="F773">
        <v>2</v>
      </c>
      <c r="G773" t="s">
        <v>124</v>
      </c>
      <c r="H773" s="2">
        <v>46203.632141203707</v>
      </c>
      <c r="I773">
        <v>13</v>
      </c>
      <c r="J773" t="s">
        <v>120</v>
      </c>
      <c r="K773" s="8">
        <v>1</v>
      </c>
      <c r="L773">
        <v>8</v>
      </c>
      <c r="M773" t="s">
        <v>64</v>
      </c>
      <c r="N773">
        <v>33</v>
      </c>
      <c r="O773" t="s">
        <v>24</v>
      </c>
      <c r="P773" t="s">
        <v>25</v>
      </c>
      <c r="Q773" t="s">
        <v>56</v>
      </c>
      <c r="R773" s="7">
        <v>3.5</v>
      </c>
      <c r="S773" s="7">
        <v>3.5</v>
      </c>
      <c r="T773" t="s">
        <v>125</v>
      </c>
    </row>
    <row r="774" spans="1:20" x14ac:dyDescent="0.3">
      <c r="A774">
        <v>773</v>
      </c>
      <c r="B774" s="1">
        <v>44928</v>
      </c>
      <c r="C774">
        <v>2023</v>
      </c>
      <c r="D774">
        <v>1</v>
      </c>
      <c r="E774" t="s">
        <v>20</v>
      </c>
      <c r="F774">
        <v>2</v>
      </c>
      <c r="G774" t="s">
        <v>124</v>
      </c>
      <c r="H774" s="2">
        <v>46203.632141203707</v>
      </c>
      <c r="I774">
        <v>13</v>
      </c>
      <c r="J774" t="s">
        <v>120</v>
      </c>
      <c r="K774" s="8">
        <v>1</v>
      </c>
      <c r="L774">
        <v>8</v>
      </c>
      <c r="M774" t="s">
        <v>64</v>
      </c>
      <c r="N774">
        <v>78</v>
      </c>
      <c r="O774" t="s">
        <v>43</v>
      </c>
      <c r="P774" t="s">
        <v>44</v>
      </c>
      <c r="Q774" t="s">
        <v>91</v>
      </c>
      <c r="R774" s="7">
        <v>4.5</v>
      </c>
      <c r="S774" s="7">
        <v>4.5</v>
      </c>
      <c r="T774" t="s">
        <v>125</v>
      </c>
    </row>
    <row r="775" spans="1:20" x14ac:dyDescent="0.3">
      <c r="A775">
        <v>774</v>
      </c>
      <c r="B775" s="1">
        <v>44928</v>
      </c>
      <c r="C775">
        <v>2023</v>
      </c>
      <c r="D775">
        <v>1</v>
      </c>
      <c r="E775" t="s">
        <v>20</v>
      </c>
      <c r="F775">
        <v>2</v>
      </c>
      <c r="G775" t="s">
        <v>124</v>
      </c>
      <c r="H775" s="2">
        <v>46203.632418981484</v>
      </c>
      <c r="I775">
        <v>13</v>
      </c>
      <c r="J775" t="s">
        <v>120</v>
      </c>
      <c r="K775" s="8">
        <v>2</v>
      </c>
      <c r="L775">
        <v>8</v>
      </c>
      <c r="M775" t="s">
        <v>64</v>
      </c>
      <c r="N775">
        <v>43</v>
      </c>
      <c r="O775" t="s">
        <v>30</v>
      </c>
      <c r="P775" t="s">
        <v>65</v>
      </c>
      <c r="Q775" t="s">
        <v>75</v>
      </c>
      <c r="R775" s="7">
        <v>3</v>
      </c>
      <c r="S775" s="7">
        <v>6</v>
      </c>
      <c r="T775" t="s">
        <v>125</v>
      </c>
    </row>
    <row r="776" spans="1:20" x14ac:dyDescent="0.3">
      <c r="A776">
        <v>775</v>
      </c>
      <c r="B776" s="1">
        <v>44928</v>
      </c>
      <c r="C776">
        <v>2023</v>
      </c>
      <c r="D776">
        <v>1</v>
      </c>
      <c r="E776" t="s">
        <v>20</v>
      </c>
      <c r="F776">
        <v>2</v>
      </c>
      <c r="G776" t="s">
        <v>124</v>
      </c>
      <c r="H776" s="2">
        <v>46203.635347222225</v>
      </c>
      <c r="I776">
        <v>13</v>
      </c>
      <c r="J776" t="s">
        <v>120</v>
      </c>
      <c r="K776" s="8">
        <v>2</v>
      </c>
      <c r="L776">
        <v>5</v>
      </c>
      <c r="M776" t="s">
        <v>23</v>
      </c>
      <c r="N776">
        <v>31</v>
      </c>
      <c r="O776" t="s">
        <v>24</v>
      </c>
      <c r="P776" t="s">
        <v>25</v>
      </c>
      <c r="Q776" t="s">
        <v>116</v>
      </c>
      <c r="R776" s="7">
        <v>2.2000000000000002</v>
      </c>
      <c r="S776" s="7">
        <v>4.4000000000000004</v>
      </c>
      <c r="T776" t="s">
        <v>125</v>
      </c>
    </row>
    <row r="777" spans="1:20" x14ac:dyDescent="0.3">
      <c r="A777">
        <v>776</v>
      </c>
      <c r="B777" s="1">
        <v>44928</v>
      </c>
      <c r="C777">
        <v>2023</v>
      </c>
      <c r="D777">
        <v>1</v>
      </c>
      <c r="E777" t="s">
        <v>20</v>
      </c>
      <c r="F777">
        <v>2</v>
      </c>
      <c r="G777" t="s">
        <v>124</v>
      </c>
      <c r="H777" s="2">
        <v>46203.635879629626</v>
      </c>
      <c r="I777">
        <v>13</v>
      </c>
      <c r="J777" t="s">
        <v>120</v>
      </c>
      <c r="K777" s="8">
        <v>1</v>
      </c>
      <c r="L777">
        <v>5</v>
      </c>
      <c r="M777" t="s">
        <v>23</v>
      </c>
      <c r="N777">
        <v>24</v>
      </c>
      <c r="O777" t="s">
        <v>24</v>
      </c>
      <c r="P777" t="s">
        <v>40</v>
      </c>
      <c r="Q777" t="s">
        <v>89</v>
      </c>
      <c r="R777" s="7">
        <v>3</v>
      </c>
      <c r="S777" s="7">
        <v>3</v>
      </c>
      <c r="T777" t="s">
        <v>125</v>
      </c>
    </row>
    <row r="778" spans="1:20" x14ac:dyDescent="0.3">
      <c r="A778">
        <v>777</v>
      </c>
      <c r="B778" s="1">
        <v>44928</v>
      </c>
      <c r="C778">
        <v>2023</v>
      </c>
      <c r="D778">
        <v>1</v>
      </c>
      <c r="E778" t="s">
        <v>20</v>
      </c>
      <c r="F778">
        <v>2</v>
      </c>
      <c r="G778" t="s">
        <v>124</v>
      </c>
      <c r="H778" s="2">
        <v>46203.639687499999</v>
      </c>
      <c r="I778">
        <v>13</v>
      </c>
      <c r="J778" t="s">
        <v>120</v>
      </c>
      <c r="K778" s="8">
        <v>2</v>
      </c>
      <c r="L778">
        <v>3</v>
      </c>
      <c r="M778" t="s">
        <v>114</v>
      </c>
      <c r="N778">
        <v>46</v>
      </c>
      <c r="O778" t="s">
        <v>30</v>
      </c>
      <c r="P778" t="s">
        <v>60</v>
      </c>
      <c r="Q778" t="s">
        <v>95</v>
      </c>
      <c r="R778" s="7">
        <v>2.5</v>
      </c>
      <c r="S778" s="7">
        <v>5</v>
      </c>
      <c r="T778" t="s">
        <v>125</v>
      </c>
    </row>
    <row r="779" spans="1:20" x14ac:dyDescent="0.3">
      <c r="A779">
        <v>778</v>
      </c>
      <c r="B779" s="1">
        <v>44928</v>
      </c>
      <c r="C779">
        <v>2023</v>
      </c>
      <c r="D779">
        <v>1</v>
      </c>
      <c r="E779" t="s">
        <v>20</v>
      </c>
      <c r="F779">
        <v>2</v>
      </c>
      <c r="G779" t="s">
        <v>124</v>
      </c>
      <c r="H779" s="2">
        <v>46203.639849537038</v>
      </c>
      <c r="I779">
        <v>13</v>
      </c>
      <c r="J779" t="s">
        <v>120</v>
      </c>
      <c r="K779" s="8">
        <v>2</v>
      </c>
      <c r="L779">
        <v>8</v>
      </c>
      <c r="M779" t="s">
        <v>64</v>
      </c>
      <c r="N779">
        <v>50</v>
      </c>
      <c r="O779" t="s">
        <v>30</v>
      </c>
      <c r="P779" t="s">
        <v>57</v>
      </c>
      <c r="Q779" t="s">
        <v>108</v>
      </c>
      <c r="R779" s="7">
        <v>2.5</v>
      </c>
      <c r="S779" s="7">
        <v>5</v>
      </c>
      <c r="T779" t="s">
        <v>125</v>
      </c>
    </row>
    <row r="780" spans="1:20" x14ac:dyDescent="0.3">
      <c r="A780">
        <v>779</v>
      </c>
      <c r="B780" s="1">
        <v>44928</v>
      </c>
      <c r="C780">
        <v>2023</v>
      </c>
      <c r="D780">
        <v>1</v>
      </c>
      <c r="E780" t="s">
        <v>20</v>
      </c>
      <c r="F780">
        <v>2</v>
      </c>
      <c r="G780" t="s">
        <v>124</v>
      </c>
      <c r="H780" s="2">
        <v>46203.641180555554</v>
      </c>
      <c r="I780">
        <v>13</v>
      </c>
      <c r="J780" t="s">
        <v>120</v>
      </c>
      <c r="K780" s="8">
        <v>2</v>
      </c>
      <c r="L780">
        <v>3</v>
      </c>
      <c r="M780" t="s">
        <v>114</v>
      </c>
      <c r="N780">
        <v>39</v>
      </c>
      <c r="O780" t="s">
        <v>24</v>
      </c>
      <c r="P780" t="s">
        <v>48</v>
      </c>
      <c r="Q780" t="s">
        <v>49</v>
      </c>
      <c r="R780" s="7">
        <v>4.25</v>
      </c>
      <c r="S780" s="7">
        <v>8.5</v>
      </c>
      <c r="T780" t="s">
        <v>125</v>
      </c>
    </row>
    <row r="781" spans="1:20" x14ac:dyDescent="0.3">
      <c r="A781">
        <v>780</v>
      </c>
      <c r="B781" s="1">
        <v>44928</v>
      </c>
      <c r="C781">
        <v>2023</v>
      </c>
      <c r="D781">
        <v>1</v>
      </c>
      <c r="E781" t="s">
        <v>20</v>
      </c>
      <c r="F781">
        <v>2</v>
      </c>
      <c r="G781" t="s">
        <v>124</v>
      </c>
      <c r="H781" s="2">
        <v>46203.641412037039</v>
      </c>
      <c r="I781">
        <v>13</v>
      </c>
      <c r="J781" t="s">
        <v>120</v>
      </c>
      <c r="K781" s="8">
        <v>1</v>
      </c>
      <c r="L781">
        <v>3</v>
      </c>
      <c r="M781" t="s">
        <v>114</v>
      </c>
      <c r="N781">
        <v>44</v>
      </c>
      <c r="O781" t="s">
        <v>30</v>
      </c>
      <c r="P781" t="s">
        <v>65</v>
      </c>
      <c r="Q781" t="s">
        <v>92</v>
      </c>
      <c r="R781" s="7">
        <v>2.5</v>
      </c>
      <c r="S781" s="7">
        <v>2.5</v>
      </c>
      <c r="T781" t="s">
        <v>125</v>
      </c>
    </row>
    <row r="782" spans="1:20" x14ac:dyDescent="0.3">
      <c r="A782">
        <v>781</v>
      </c>
      <c r="B782" s="1">
        <v>44928</v>
      </c>
      <c r="C782">
        <v>2023</v>
      </c>
      <c r="D782">
        <v>1</v>
      </c>
      <c r="E782" t="s">
        <v>20</v>
      </c>
      <c r="F782">
        <v>2</v>
      </c>
      <c r="G782" t="s">
        <v>124</v>
      </c>
      <c r="H782" s="2">
        <v>46203.642048611109</v>
      </c>
      <c r="I782">
        <v>13</v>
      </c>
      <c r="J782" t="s">
        <v>120</v>
      </c>
      <c r="K782" s="8">
        <v>2</v>
      </c>
      <c r="L782">
        <v>3</v>
      </c>
      <c r="M782" t="s">
        <v>114</v>
      </c>
      <c r="N782">
        <v>31</v>
      </c>
      <c r="O782" t="s">
        <v>24</v>
      </c>
      <c r="P782" t="s">
        <v>25</v>
      </c>
      <c r="Q782" t="s">
        <v>116</v>
      </c>
      <c r="R782" s="7">
        <v>2.2000000000000002</v>
      </c>
      <c r="S782" s="7">
        <v>4.4000000000000004</v>
      </c>
      <c r="T782" t="s">
        <v>125</v>
      </c>
    </row>
    <row r="783" spans="1:20" x14ac:dyDescent="0.3">
      <c r="A783">
        <v>782</v>
      </c>
      <c r="B783" s="1">
        <v>44928</v>
      </c>
      <c r="C783">
        <v>2023</v>
      </c>
      <c r="D783">
        <v>1</v>
      </c>
      <c r="E783" t="s">
        <v>20</v>
      </c>
      <c r="F783">
        <v>2</v>
      </c>
      <c r="G783" t="s">
        <v>124</v>
      </c>
      <c r="H783" s="2">
        <v>46203.642384259256</v>
      </c>
      <c r="I783">
        <v>13</v>
      </c>
      <c r="J783" t="s">
        <v>120</v>
      </c>
      <c r="K783" s="8">
        <v>1</v>
      </c>
      <c r="L783">
        <v>8</v>
      </c>
      <c r="M783" t="s">
        <v>64</v>
      </c>
      <c r="N783">
        <v>57</v>
      </c>
      <c r="O783" t="s">
        <v>30</v>
      </c>
      <c r="P783" t="s">
        <v>31</v>
      </c>
      <c r="Q783" t="s">
        <v>32</v>
      </c>
      <c r="R783" s="7">
        <v>3.1</v>
      </c>
      <c r="S783" s="7">
        <v>3.1</v>
      </c>
      <c r="T783" t="s">
        <v>125</v>
      </c>
    </row>
    <row r="784" spans="1:20" x14ac:dyDescent="0.3">
      <c r="A784">
        <v>783</v>
      </c>
      <c r="B784" s="1">
        <v>44928</v>
      </c>
      <c r="C784">
        <v>2023</v>
      </c>
      <c r="D784">
        <v>1</v>
      </c>
      <c r="E784" t="s">
        <v>20</v>
      </c>
      <c r="F784">
        <v>2</v>
      </c>
      <c r="G784" t="s">
        <v>124</v>
      </c>
      <c r="H784" s="2">
        <v>46203.643599537034</v>
      </c>
      <c r="I784">
        <v>13</v>
      </c>
      <c r="J784" t="s">
        <v>120</v>
      </c>
      <c r="K784" s="8">
        <v>1</v>
      </c>
      <c r="L784">
        <v>3</v>
      </c>
      <c r="M784" t="s">
        <v>114</v>
      </c>
      <c r="N784">
        <v>47</v>
      </c>
      <c r="O784" t="s">
        <v>30</v>
      </c>
      <c r="P784" t="s">
        <v>60</v>
      </c>
      <c r="Q784" t="s">
        <v>61</v>
      </c>
      <c r="R784" s="7">
        <v>3</v>
      </c>
      <c r="S784" s="7">
        <v>3</v>
      </c>
      <c r="T784" t="s">
        <v>125</v>
      </c>
    </row>
    <row r="785" spans="1:20" x14ac:dyDescent="0.3">
      <c r="A785">
        <v>784</v>
      </c>
      <c r="B785" s="1">
        <v>44928</v>
      </c>
      <c r="C785">
        <v>2023</v>
      </c>
      <c r="D785">
        <v>1</v>
      </c>
      <c r="E785" t="s">
        <v>20</v>
      </c>
      <c r="F785">
        <v>2</v>
      </c>
      <c r="G785" t="s">
        <v>124</v>
      </c>
      <c r="H785" s="2">
        <v>46203.64472222222</v>
      </c>
      <c r="I785">
        <v>13</v>
      </c>
      <c r="J785" t="s">
        <v>120</v>
      </c>
      <c r="K785" s="8">
        <v>2</v>
      </c>
      <c r="L785">
        <v>8</v>
      </c>
      <c r="M785" t="s">
        <v>64</v>
      </c>
      <c r="N785">
        <v>44</v>
      </c>
      <c r="O785" t="s">
        <v>30</v>
      </c>
      <c r="P785" t="s">
        <v>65</v>
      </c>
      <c r="Q785" t="s">
        <v>92</v>
      </c>
      <c r="R785" s="7">
        <v>2.5</v>
      </c>
      <c r="S785" s="7">
        <v>5</v>
      </c>
      <c r="T785" t="s">
        <v>125</v>
      </c>
    </row>
    <row r="786" spans="1:20" x14ac:dyDescent="0.3">
      <c r="A786">
        <v>785</v>
      </c>
      <c r="B786" s="1">
        <v>44928</v>
      </c>
      <c r="C786">
        <v>2023</v>
      </c>
      <c r="D786">
        <v>1</v>
      </c>
      <c r="E786" t="s">
        <v>20</v>
      </c>
      <c r="F786">
        <v>2</v>
      </c>
      <c r="G786" t="s">
        <v>124</v>
      </c>
      <c r="H786" s="2">
        <v>46203.645729166667</v>
      </c>
      <c r="I786">
        <v>13</v>
      </c>
      <c r="J786" t="s">
        <v>120</v>
      </c>
      <c r="K786" s="8">
        <v>1</v>
      </c>
      <c r="L786">
        <v>3</v>
      </c>
      <c r="M786" t="s">
        <v>114</v>
      </c>
      <c r="N786">
        <v>38</v>
      </c>
      <c r="O786" t="s">
        <v>24</v>
      </c>
      <c r="P786" t="s">
        <v>48</v>
      </c>
      <c r="Q786" t="s">
        <v>81</v>
      </c>
      <c r="R786" s="7">
        <v>3.75</v>
      </c>
      <c r="S786" s="7">
        <v>3.75</v>
      </c>
      <c r="T786" t="s">
        <v>125</v>
      </c>
    </row>
    <row r="787" spans="1:20" x14ac:dyDescent="0.3">
      <c r="A787">
        <v>786</v>
      </c>
      <c r="B787" s="1">
        <v>44928</v>
      </c>
      <c r="C787">
        <v>2023</v>
      </c>
      <c r="D787">
        <v>1</v>
      </c>
      <c r="E787" t="s">
        <v>20</v>
      </c>
      <c r="F787">
        <v>2</v>
      </c>
      <c r="G787" t="s">
        <v>124</v>
      </c>
      <c r="H787" s="2">
        <v>46203.645821759259</v>
      </c>
      <c r="I787">
        <v>13</v>
      </c>
      <c r="J787" t="s">
        <v>120</v>
      </c>
      <c r="K787" s="8">
        <v>1</v>
      </c>
      <c r="L787">
        <v>3</v>
      </c>
      <c r="M787" t="s">
        <v>114</v>
      </c>
      <c r="N787">
        <v>56</v>
      </c>
      <c r="O787" t="s">
        <v>30</v>
      </c>
      <c r="P787" t="s">
        <v>31</v>
      </c>
      <c r="Q787" t="s">
        <v>54</v>
      </c>
      <c r="R787" s="7">
        <v>2.5499999999999998</v>
      </c>
      <c r="S787" s="7">
        <v>2.5499999999999998</v>
      </c>
      <c r="T787" t="s">
        <v>125</v>
      </c>
    </row>
    <row r="788" spans="1:20" x14ac:dyDescent="0.3">
      <c r="A788">
        <v>787</v>
      </c>
      <c r="B788" s="1">
        <v>44928</v>
      </c>
      <c r="C788">
        <v>2023</v>
      </c>
      <c r="D788">
        <v>1</v>
      </c>
      <c r="E788" t="s">
        <v>20</v>
      </c>
      <c r="F788">
        <v>2</v>
      </c>
      <c r="G788" t="s">
        <v>124</v>
      </c>
      <c r="H788" s="2">
        <v>46203.645833333336</v>
      </c>
      <c r="I788">
        <v>13</v>
      </c>
      <c r="J788" t="s">
        <v>120</v>
      </c>
      <c r="K788" s="8">
        <v>2</v>
      </c>
      <c r="L788">
        <v>3</v>
      </c>
      <c r="M788" t="s">
        <v>114</v>
      </c>
      <c r="N788">
        <v>27</v>
      </c>
      <c r="O788" t="s">
        <v>24</v>
      </c>
      <c r="P788" t="s">
        <v>82</v>
      </c>
      <c r="Q788" t="s">
        <v>84</v>
      </c>
      <c r="R788" s="7">
        <v>3.5</v>
      </c>
      <c r="S788" s="7">
        <v>7</v>
      </c>
      <c r="T788" t="s">
        <v>125</v>
      </c>
    </row>
    <row r="789" spans="1:20" x14ac:dyDescent="0.3">
      <c r="A789">
        <v>788</v>
      </c>
      <c r="B789" s="1">
        <v>44928</v>
      </c>
      <c r="C789">
        <v>2023</v>
      </c>
      <c r="D789">
        <v>1</v>
      </c>
      <c r="E789" t="s">
        <v>20</v>
      </c>
      <c r="F789">
        <v>2</v>
      </c>
      <c r="G789" t="s">
        <v>124</v>
      </c>
      <c r="H789" s="2">
        <v>46203.645833333336</v>
      </c>
      <c r="I789">
        <v>13</v>
      </c>
      <c r="J789" t="s">
        <v>120</v>
      </c>
      <c r="K789" s="8">
        <v>1</v>
      </c>
      <c r="L789">
        <v>3</v>
      </c>
      <c r="M789" t="s">
        <v>114</v>
      </c>
      <c r="N789">
        <v>76</v>
      </c>
      <c r="O789" t="s">
        <v>43</v>
      </c>
      <c r="P789" t="s">
        <v>71</v>
      </c>
      <c r="Q789" t="s">
        <v>76</v>
      </c>
      <c r="R789" s="7">
        <v>3.5</v>
      </c>
      <c r="S789" s="7">
        <v>3.5</v>
      </c>
      <c r="T789" t="s">
        <v>125</v>
      </c>
    </row>
    <row r="790" spans="1:20" x14ac:dyDescent="0.3">
      <c r="A790">
        <v>789</v>
      </c>
      <c r="B790" s="1">
        <v>44928</v>
      </c>
      <c r="C790">
        <v>2023</v>
      </c>
      <c r="D790">
        <v>1</v>
      </c>
      <c r="E790" t="s">
        <v>20</v>
      </c>
      <c r="F790">
        <v>2</v>
      </c>
      <c r="G790" t="s">
        <v>124</v>
      </c>
      <c r="H790" s="2">
        <v>46203.645891203705</v>
      </c>
      <c r="I790">
        <v>13</v>
      </c>
      <c r="J790" t="s">
        <v>120</v>
      </c>
      <c r="K790" s="8">
        <v>1</v>
      </c>
      <c r="L790">
        <v>8</v>
      </c>
      <c r="M790" t="s">
        <v>64</v>
      </c>
      <c r="N790">
        <v>50</v>
      </c>
      <c r="O790" t="s">
        <v>30</v>
      </c>
      <c r="P790" t="s">
        <v>57</v>
      </c>
      <c r="Q790" t="s">
        <v>108</v>
      </c>
      <c r="R790" s="7">
        <v>2.5</v>
      </c>
      <c r="S790" s="7">
        <v>2.5</v>
      </c>
      <c r="T790" t="s">
        <v>125</v>
      </c>
    </row>
    <row r="791" spans="1:20" x14ac:dyDescent="0.3">
      <c r="A791">
        <v>790</v>
      </c>
      <c r="B791" s="1">
        <v>44928</v>
      </c>
      <c r="C791">
        <v>2023</v>
      </c>
      <c r="D791">
        <v>1</v>
      </c>
      <c r="E791" t="s">
        <v>20</v>
      </c>
      <c r="F791">
        <v>2</v>
      </c>
      <c r="G791" t="s">
        <v>124</v>
      </c>
      <c r="H791" s="2">
        <v>46203.646006944444</v>
      </c>
      <c r="I791">
        <v>13</v>
      </c>
      <c r="J791" t="s">
        <v>120</v>
      </c>
      <c r="K791" s="8">
        <v>1</v>
      </c>
      <c r="L791">
        <v>3</v>
      </c>
      <c r="M791" t="s">
        <v>114</v>
      </c>
      <c r="N791">
        <v>30</v>
      </c>
      <c r="O791" t="s">
        <v>24</v>
      </c>
      <c r="P791" t="s">
        <v>25</v>
      </c>
      <c r="Q791" t="s">
        <v>119</v>
      </c>
      <c r="R791" s="7">
        <v>3</v>
      </c>
      <c r="S791" s="7">
        <v>3</v>
      </c>
      <c r="T791" t="s">
        <v>125</v>
      </c>
    </row>
    <row r="792" spans="1:20" x14ac:dyDescent="0.3">
      <c r="A792">
        <v>791</v>
      </c>
      <c r="B792" s="1">
        <v>44928</v>
      </c>
      <c r="C792">
        <v>2023</v>
      </c>
      <c r="D792">
        <v>1</v>
      </c>
      <c r="E792" t="s">
        <v>20</v>
      </c>
      <c r="F792">
        <v>2</v>
      </c>
      <c r="G792" t="s">
        <v>124</v>
      </c>
      <c r="H792" s="2">
        <v>46203.646180555559</v>
      </c>
      <c r="I792">
        <v>13</v>
      </c>
      <c r="J792" t="s">
        <v>120</v>
      </c>
      <c r="K792" s="8">
        <v>2</v>
      </c>
      <c r="L792">
        <v>3</v>
      </c>
      <c r="M792" t="s">
        <v>114</v>
      </c>
      <c r="N792">
        <v>39</v>
      </c>
      <c r="O792" t="s">
        <v>24</v>
      </c>
      <c r="P792" t="s">
        <v>48</v>
      </c>
      <c r="Q792" t="s">
        <v>49</v>
      </c>
      <c r="R792" s="7">
        <v>4.25</v>
      </c>
      <c r="S792" s="7">
        <v>8.5</v>
      </c>
      <c r="T792" t="s">
        <v>125</v>
      </c>
    </row>
    <row r="793" spans="1:20" x14ac:dyDescent="0.3">
      <c r="A793">
        <v>792</v>
      </c>
      <c r="B793" s="1">
        <v>44928</v>
      </c>
      <c r="C793">
        <v>2023</v>
      </c>
      <c r="D793">
        <v>1</v>
      </c>
      <c r="E793" t="s">
        <v>20</v>
      </c>
      <c r="F793">
        <v>2</v>
      </c>
      <c r="G793" t="s">
        <v>124</v>
      </c>
      <c r="H793" s="2">
        <v>46203.646180555559</v>
      </c>
      <c r="I793">
        <v>13</v>
      </c>
      <c r="J793" t="s">
        <v>120</v>
      </c>
      <c r="K793" s="8">
        <v>1</v>
      </c>
      <c r="L793">
        <v>8</v>
      </c>
      <c r="M793" t="s">
        <v>64</v>
      </c>
      <c r="N793">
        <v>31</v>
      </c>
      <c r="O793" t="s">
        <v>24</v>
      </c>
      <c r="P793" t="s">
        <v>25</v>
      </c>
      <c r="Q793" t="s">
        <v>116</v>
      </c>
      <c r="R793" s="7">
        <v>2.2000000000000002</v>
      </c>
      <c r="S793" s="7">
        <v>2.2000000000000002</v>
      </c>
      <c r="T793" t="s">
        <v>125</v>
      </c>
    </row>
    <row r="794" spans="1:20" x14ac:dyDescent="0.3">
      <c r="A794">
        <v>793</v>
      </c>
      <c r="B794" s="1">
        <v>44928</v>
      </c>
      <c r="C794">
        <v>2023</v>
      </c>
      <c r="D794">
        <v>1</v>
      </c>
      <c r="E794" t="s">
        <v>20</v>
      </c>
      <c r="F794">
        <v>2</v>
      </c>
      <c r="G794" t="s">
        <v>124</v>
      </c>
      <c r="H794" s="2">
        <v>46203.648634259262</v>
      </c>
      <c r="I794">
        <v>13</v>
      </c>
      <c r="J794" t="s">
        <v>120</v>
      </c>
      <c r="K794" s="8">
        <v>1</v>
      </c>
      <c r="L794">
        <v>8</v>
      </c>
      <c r="M794" t="s">
        <v>64</v>
      </c>
      <c r="N794">
        <v>23</v>
      </c>
      <c r="O794" t="s">
        <v>24</v>
      </c>
      <c r="P794" t="s">
        <v>40</v>
      </c>
      <c r="Q794" t="s">
        <v>94</v>
      </c>
      <c r="R794" s="7">
        <v>2.5</v>
      </c>
      <c r="S794" s="7">
        <v>2.5</v>
      </c>
      <c r="T794" t="s">
        <v>125</v>
      </c>
    </row>
    <row r="795" spans="1:20" x14ac:dyDescent="0.3">
      <c r="A795">
        <v>794</v>
      </c>
      <c r="B795" s="1">
        <v>44928</v>
      </c>
      <c r="C795">
        <v>2023</v>
      </c>
      <c r="D795">
        <v>1</v>
      </c>
      <c r="E795" t="s">
        <v>20</v>
      </c>
      <c r="F795">
        <v>2</v>
      </c>
      <c r="G795" t="s">
        <v>124</v>
      </c>
      <c r="H795" s="2">
        <v>46203.649583333332</v>
      </c>
      <c r="I795">
        <v>13</v>
      </c>
      <c r="J795" t="s">
        <v>120</v>
      </c>
      <c r="K795" s="8">
        <v>2</v>
      </c>
      <c r="L795">
        <v>5</v>
      </c>
      <c r="M795" t="s">
        <v>23</v>
      </c>
      <c r="N795">
        <v>32</v>
      </c>
      <c r="O795" t="s">
        <v>24</v>
      </c>
      <c r="P795" t="s">
        <v>25</v>
      </c>
      <c r="Q795" t="s">
        <v>26</v>
      </c>
      <c r="R795" s="7">
        <v>3</v>
      </c>
      <c r="S795" s="7">
        <v>6</v>
      </c>
      <c r="T795" t="s">
        <v>125</v>
      </c>
    </row>
    <row r="796" spans="1:20" x14ac:dyDescent="0.3">
      <c r="A796">
        <v>795</v>
      </c>
      <c r="B796" s="1">
        <v>44928</v>
      </c>
      <c r="C796">
        <v>2023</v>
      </c>
      <c r="D796">
        <v>1</v>
      </c>
      <c r="E796" t="s">
        <v>20</v>
      </c>
      <c r="F796">
        <v>2</v>
      </c>
      <c r="G796" t="s">
        <v>124</v>
      </c>
      <c r="H796" s="2">
        <v>46203.649583333332</v>
      </c>
      <c r="I796">
        <v>13</v>
      </c>
      <c r="J796" t="s">
        <v>120</v>
      </c>
      <c r="K796" s="8">
        <v>2</v>
      </c>
      <c r="L796">
        <v>8</v>
      </c>
      <c r="M796" t="s">
        <v>64</v>
      </c>
      <c r="N796">
        <v>30</v>
      </c>
      <c r="O796" t="s">
        <v>24</v>
      </c>
      <c r="P796" t="s">
        <v>25</v>
      </c>
      <c r="Q796" t="s">
        <v>119</v>
      </c>
      <c r="R796" s="7">
        <v>3</v>
      </c>
      <c r="S796" s="7">
        <v>6</v>
      </c>
      <c r="T796" t="s">
        <v>125</v>
      </c>
    </row>
    <row r="797" spans="1:20" x14ac:dyDescent="0.3">
      <c r="A797">
        <v>796</v>
      </c>
      <c r="B797" s="1">
        <v>44928</v>
      </c>
      <c r="C797">
        <v>2023</v>
      </c>
      <c r="D797">
        <v>1</v>
      </c>
      <c r="E797" t="s">
        <v>20</v>
      </c>
      <c r="F797">
        <v>2</v>
      </c>
      <c r="G797" t="s">
        <v>124</v>
      </c>
      <c r="H797" s="2">
        <v>46203.65221064815</v>
      </c>
      <c r="I797">
        <v>13</v>
      </c>
      <c r="J797" t="s">
        <v>120</v>
      </c>
      <c r="K797" s="8">
        <v>2</v>
      </c>
      <c r="L797">
        <v>3</v>
      </c>
      <c r="M797" t="s">
        <v>114</v>
      </c>
      <c r="N797">
        <v>23</v>
      </c>
      <c r="O797" t="s">
        <v>24</v>
      </c>
      <c r="P797" t="s">
        <v>40</v>
      </c>
      <c r="Q797" t="s">
        <v>94</v>
      </c>
      <c r="R797" s="7">
        <v>2.5</v>
      </c>
      <c r="S797" s="7">
        <v>5</v>
      </c>
      <c r="T797" t="s">
        <v>125</v>
      </c>
    </row>
    <row r="798" spans="1:20" x14ac:dyDescent="0.3">
      <c r="A798">
        <v>797</v>
      </c>
      <c r="B798" s="1">
        <v>44928</v>
      </c>
      <c r="C798">
        <v>2023</v>
      </c>
      <c r="D798">
        <v>1</v>
      </c>
      <c r="E798" t="s">
        <v>20</v>
      </c>
      <c r="F798">
        <v>2</v>
      </c>
      <c r="G798" t="s">
        <v>124</v>
      </c>
      <c r="H798" s="2">
        <v>46203.652905092589</v>
      </c>
      <c r="I798">
        <v>13</v>
      </c>
      <c r="J798" t="s">
        <v>120</v>
      </c>
      <c r="K798" s="8">
        <v>1</v>
      </c>
      <c r="L798">
        <v>3</v>
      </c>
      <c r="M798" t="s">
        <v>114</v>
      </c>
      <c r="N798">
        <v>39</v>
      </c>
      <c r="O798" t="s">
        <v>24</v>
      </c>
      <c r="P798" t="s">
        <v>48</v>
      </c>
      <c r="Q798" t="s">
        <v>49</v>
      </c>
      <c r="R798" s="7">
        <v>4.25</v>
      </c>
      <c r="S798" s="7">
        <v>4.25</v>
      </c>
      <c r="T798" t="s">
        <v>125</v>
      </c>
    </row>
    <row r="799" spans="1:20" x14ac:dyDescent="0.3">
      <c r="A799">
        <v>798</v>
      </c>
      <c r="B799" s="1">
        <v>44928</v>
      </c>
      <c r="C799">
        <v>2023</v>
      </c>
      <c r="D799">
        <v>1</v>
      </c>
      <c r="E799" t="s">
        <v>20</v>
      </c>
      <c r="F799">
        <v>2</v>
      </c>
      <c r="G799" t="s">
        <v>124</v>
      </c>
      <c r="H799" s="2">
        <v>46203.653194444443</v>
      </c>
      <c r="I799">
        <v>13</v>
      </c>
      <c r="J799" t="s">
        <v>120</v>
      </c>
      <c r="K799" s="8">
        <v>2</v>
      </c>
      <c r="L799">
        <v>8</v>
      </c>
      <c r="M799" t="s">
        <v>64</v>
      </c>
      <c r="N799">
        <v>47</v>
      </c>
      <c r="O799" t="s">
        <v>30</v>
      </c>
      <c r="P799" t="s">
        <v>60</v>
      </c>
      <c r="Q799" t="s">
        <v>61</v>
      </c>
      <c r="R799" s="7">
        <v>3</v>
      </c>
      <c r="S799" s="7">
        <v>6</v>
      </c>
      <c r="T799" t="s">
        <v>125</v>
      </c>
    </row>
    <row r="800" spans="1:20" x14ac:dyDescent="0.3">
      <c r="A800">
        <v>799</v>
      </c>
      <c r="B800" s="1">
        <v>44928</v>
      </c>
      <c r="C800">
        <v>2023</v>
      </c>
      <c r="D800">
        <v>1</v>
      </c>
      <c r="E800" t="s">
        <v>20</v>
      </c>
      <c r="F800">
        <v>2</v>
      </c>
      <c r="G800" t="s">
        <v>124</v>
      </c>
      <c r="H800" s="2">
        <v>46203.653391203705</v>
      </c>
      <c r="I800">
        <v>13</v>
      </c>
      <c r="J800" t="s">
        <v>120</v>
      </c>
      <c r="K800" s="8">
        <v>1</v>
      </c>
      <c r="L800">
        <v>5</v>
      </c>
      <c r="M800" t="s">
        <v>23</v>
      </c>
      <c r="N800">
        <v>48</v>
      </c>
      <c r="O800" t="s">
        <v>30</v>
      </c>
      <c r="P800" t="s">
        <v>57</v>
      </c>
      <c r="Q800" t="s">
        <v>93</v>
      </c>
      <c r="R800" s="7">
        <v>2.5</v>
      </c>
      <c r="S800" s="7">
        <v>2.5</v>
      </c>
      <c r="T800" t="s">
        <v>125</v>
      </c>
    </row>
    <row r="801" spans="1:20" x14ac:dyDescent="0.3">
      <c r="A801">
        <v>800</v>
      </c>
      <c r="B801" s="1">
        <v>44928</v>
      </c>
      <c r="C801">
        <v>2023</v>
      </c>
      <c r="D801">
        <v>1</v>
      </c>
      <c r="E801" t="s">
        <v>20</v>
      </c>
      <c r="F801">
        <v>2</v>
      </c>
      <c r="G801" t="s">
        <v>124</v>
      </c>
      <c r="H801" s="2">
        <v>46203.653391203705</v>
      </c>
      <c r="I801">
        <v>13</v>
      </c>
      <c r="J801" t="s">
        <v>120</v>
      </c>
      <c r="K801" s="8">
        <v>1</v>
      </c>
      <c r="L801">
        <v>5</v>
      </c>
      <c r="M801" t="s">
        <v>23</v>
      </c>
      <c r="N801">
        <v>79</v>
      </c>
      <c r="O801" t="s">
        <v>43</v>
      </c>
      <c r="P801" t="s">
        <v>44</v>
      </c>
      <c r="Q801" t="s">
        <v>62</v>
      </c>
      <c r="R801" s="7">
        <v>3.75</v>
      </c>
      <c r="S801" s="7">
        <v>3.75</v>
      </c>
      <c r="T801" t="s">
        <v>125</v>
      </c>
    </row>
    <row r="802" spans="1:20" x14ac:dyDescent="0.3">
      <c r="A802">
        <v>801</v>
      </c>
      <c r="B802" s="1">
        <v>44928</v>
      </c>
      <c r="C802">
        <v>2023</v>
      </c>
      <c r="D802">
        <v>1</v>
      </c>
      <c r="E802" t="s">
        <v>20</v>
      </c>
      <c r="F802">
        <v>2</v>
      </c>
      <c r="G802" t="s">
        <v>124</v>
      </c>
      <c r="H802" s="2">
        <v>46203.654247685183</v>
      </c>
      <c r="I802">
        <v>13</v>
      </c>
      <c r="J802" t="s">
        <v>120</v>
      </c>
      <c r="K802" s="8">
        <v>1</v>
      </c>
      <c r="L802">
        <v>8</v>
      </c>
      <c r="M802" t="s">
        <v>64</v>
      </c>
      <c r="N802">
        <v>36</v>
      </c>
      <c r="O802" t="s">
        <v>24</v>
      </c>
      <c r="P802" t="s">
        <v>99</v>
      </c>
      <c r="Q802" t="s">
        <v>102</v>
      </c>
      <c r="R802" s="7">
        <v>3.75</v>
      </c>
      <c r="S802" s="7">
        <v>3.75</v>
      </c>
      <c r="T802" t="s">
        <v>125</v>
      </c>
    </row>
    <row r="803" spans="1:20" x14ac:dyDescent="0.3">
      <c r="A803">
        <v>802</v>
      </c>
      <c r="B803" s="1">
        <v>44928</v>
      </c>
      <c r="C803">
        <v>2023</v>
      </c>
      <c r="D803">
        <v>1</v>
      </c>
      <c r="E803" t="s">
        <v>20</v>
      </c>
      <c r="F803">
        <v>2</v>
      </c>
      <c r="G803" t="s">
        <v>124</v>
      </c>
      <c r="H803" s="2">
        <v>46203.657916666663</v>
      </c>
      <c r="I803">
        <v>13</v>
      </c>
      <c r="J803" t="s">
        <v>120</v>
      </c>
      <c r="K803" s="8">
        <v>1</v>
      </c>
      <c r="L803">
        <v>3</v>
      </c>
      <c r="M803" t="s">
        <v>114</v>
      </c>
      <c r="N803">
        <v>28</v>
      </c>
      <c r="O803" t="s">
        <v>24</v>
      </c>
      <c r="P803" t="s">
        <v>25</v>
      </c>
      <c r="Q803" t="s">
        <v>46</v>
      </c>
      <c r="R803" s="7">
        <v>2</v>
      </c>
      <c r="S803" s="7">
        <v>2</v>
      </c>
      <c r="T803" t="s">
        <v>125</v>
      </c>
    </row>
    <row r="804" spans="1:20" x14ac:dyDescent="0.3">
      <c r="A804">
        <v>803</v>
      </c>
      <c r="B804" s="1">
        <v>44928</v>
      </c>
      <c r="C804">
        <v>2023</v>
      </c>
      <c r="D804">
        <v>1</v>
      </c>
      <c r="E804" t="s">
        <v>20</v>
      </c>
      <c r="F804">
        <v>2</v>
      </c>
      <c r="G804" t="s">
        <v>124</v>
      </c>
      <c r="H804" s="2">
        <v>46203.657951388886</v>
      </c>
      <c r="I804">
        <v>13</v>
      </c>
      <c r="J804" t="s">
        <v>120</v>
      </c>
      <c r="K804" s="8">
        <v>2</v>
      </c>
      <c r="L804">
        <v>8</v>
      </c>
      <c r="M804" t="s">
        <v>64</v>
      </c>
      <c r="N804">
        <v>59</v>
      </c>
      <c r="O804" t="s">
        <v>35</v>
      </c>
      <c r="P804" t="s">
        <v>36</v>
      </c>
      <c r="Q804" t="s">
        <v>37</v>
      </c>
      <c r="R804" s="7">
        <v>4.5</v>
      </c>
      <c r="S804" s="7">
        <v>9</v>
      </c>
      <c r="T804" t="s">
        <v>125</v>
      </c>
    </row>
    <row r="805" spans="1:20" x14ac:dyDescent="0.3">
      <c r="A805">
        <v>804</v>
      </c>
      <c r="B805" s="1">
        <v>44928</v>
      </c>
      <c r="C805">
        <v>2023</v>
      </c>
      <c r="D805">
        <v>1</v>
      </c>
      <c r="E805" t="s">
        <v>20</v>
      </c>
      <c r="F805">
        <v>2</v>
      </c>
      <c r="G805" t="s">
        <v>124</v>
      </c>
      <c r="H805" s="2">
        <v>46203.658645833333</v>
      </c>
      <c r="I805">
        <v>13</v>
      </c>
      <c r="J805" t="s">
        <v>120</v>
      </c>
      <c r="K805" s="8">
        <v>2</v>
      </c>
      <c r="L805">
        <v>8</v>
      </c>
      <c r="M805" t="s">
        <v>64</v>
      </c>
      <c r="N805">
        <v>26</v>
      </c>
      <c r="O805" t="s">
        <v>24</v>
      </c>
      <c r="P805" t="s">
        <v>82</v>
      </c>
      <c r="Q805" t="s">
        <v>83</v>
      </c>
      <c r="R805" s="7">
        <v>3</v>
      </c>
      <c r="S805" s="7">
        <v>6</v>
      </c>
      <c r="T805" t="s">
        <v>125</v>
      </c>
    </row>
    <row r="806" spans="1:20" x14ac:dyDescent="0.3">
      <c r="A806">
        <v>805</v>
      </c>
      <c r="B806" s="1">
        <v>44928</v>
      </c>
      <c r="C806">
        <v>2023</v>
      </c>
      <c r="D806">
        <v>1</v>
      </c>
      <c r="E806" t="s">
        <v>20</v>
      </c>
      <c r="F806">
        <v>2</v>
      </c>
      <c r="G806" t="s">
        <v>124</v>
      </c>
      <c r="H806" s="2">
        <v>46203.658645833333</v>
      </c>
      <c r="I806">
        <v>13</v>
      </c>
      <c r="J806" t="s">
        <v>120</v>
      </c>
      <c r="K806" s="8">
        <v>1</v>
      </c>
      <c r="L806">
        <v>8</v>
      </c>
      <c r="M806" t="s">
        <v>64</v>
      </c>
      <c r="N806">
        <v>73</v>
      </c>
      <c r="O806" t="s">
        <v>43</v>
      </c>
      <c r="P806" t="s">
        <v>78</v>
      </c>
      <c r="Q806" t="s">
        <v>113</v>
      </c>
      <c r="R806" s="7">
        <v>3.75</v>
      </c>
      <c r="S806" s="7">
        <v>3.75</v>
      </c>
      <c r="T806" t="s">
        <v>125</v>
      </c>
    </row>
    <row r="807" spans="1:20" x14ac:dyDescent="0.3">
      <c r="A807">
        <v>806</v>
      </c>
      <c r="B807" s="1">
        <v>44928</v>
      </c>
      <c r="C807">
        <v>2023</v>
      </c>
      <c r="D807">
        <v>1</v>
      </c>
      <c r="E807" t="s">
        <v>20</v>
      </c>
      <c r="F807">
        <v>2</v>
      </c>
      <c r="G807" t="s">
        <v>124</v>
      </c>
      <c r="H807" s="2">
        <v>46203.660798611112</v>
      </c>
      <c r="I807">
        <v>13</v>
      </c>
      <c r="J807" t="s">
        <v>120</v>
      </c>
      <c r="K807" s="8">
        <v>1</v>
      </c>
      <c r="L807">
        <v>3</v>
      </c>
      <c r="M807" t="s">
        <v>114</v>
      </c>
      <c r="N807">
        <v>60</v>
      </c>
      <c r="O807" t="s">
        <v>35</v>
      </c>
      <c r="P807" t="s">
        <v>36</v>
      </c>
      <c r="Q807" t="s">
        <v>90</v>
      </c>
      <c r="R807" s="7">
        <v>3.75</v>
      </c>
      <c r="S807" s="7">
        <v>3.75</v>
      </c>
      <c r="T807" t="s">
        <v>125</v>
      </c>
    </row>
    <row r="808" spans="1:20" x14ac:dyDescent="0.3">
      <c r="A808">
        <v>807</v>
      </c>
      <c r="B808" s="1">
        <v>44928</v>
      </c>
      <c r="C808">
        <v>2023</v>
      </c>
      <c r="D808">
        <v>1</v>
      </c>
      <c r="E808" t="s">
        <v>20</v>
      </c>
      <c r="F808">
        <v>2</v>
      </c>
      <c r="G808" t="s">
        <v>124</v>
      </c>
      <c r="H808" s="2">
        <v>46203.660798611112</v>
      </c>
      <c r="I808">
        <v>13</v>
      </c>
      <c r="J808" t="s">
        <v>120</v>
      </c>
      <c r="K808" s="8">
        <v>1</v>
      </c>
      <c r="L808">
        <v>3</v>
      </c>
      <c r="M808" t="s">
        <v>114</v>
      </c>
      <c r="N808">
        <v>70</v>
      </c>
      <c r="O808" t="s">
        <v>43</v>
      </c>
      <c r="P808" t="s">
        <v>44</v>
      </c>
      <c r="Q808" t="s">
        <v>111</v>
      </c>
      <c r="R808" s="7">
        <v>3.25</v>
      </c>
      <c r="S808" s="7">
        <v>3.25</v>
      </c>
      <c r="T808" t="s">
        <v>125</v>
      </c>
    </row>
    <row r="809" spans="1:20" x14ac:dyDescent="0.3">
      <c r="A809">
        <v>808</v>
      </c>
      <c r="B809" s="1">
        <v>44928</v>
      </c>
      <c r="C809">
        <v>2023</v>
      </c>
      <c r="D809">
        <v>1</v>
      </c>
      <c r="E809" t="s">
        <v>20</v>
      </c>
      <c r="F809">
        <v>2</v>
      </c>
      <c r="G809" t="s">
        <v>124</v>
      </c>
      <c r="H809" s="2">
        <v>46203.661423611113</v>
      </c>
      <c r="I809">
        <v>13</v>
      </c>
      <c r="J809" t="s">
        <v>120</v>
      </c>
      <c r="K809" s="8">
        <v>2</v>
      </c>
      <c r="L809">
        <v>3</v>
      </c>
      <c r="M809" t="s">
        <v>114</v>
      </c>
      <c r="N809">
        <v>54</v>
      </c>
      <c r="O809" t="s">
        <v>30</v>
      </c>
      <c r="P809" t="s">
        <v>31</v>
      </c>
      <c r="Q809" t="s">
        <v>87</v>
      </c>
      <c r="R809" s="7">
        <v>2.5</v>
      </c>
      <c r="S809" s="7">
        <v>5</v>
      </c>
      <c r="T809" t="s">
        <v>125</v>
      </c>
    </row>
    <row r="810" spans="1:20" x14ac:dyDescent="0.3">
      <c r="A810">
        <v>809</v>
      </c>
      <c r="B810" s="1">
        <v>44928</v>
      </c>
      <c r="C810">
        <v>2023</v>
      </c>
      <c r="D810">
        <v>1</v>
      </c>
      <c r="E810" t="s">
        <v>20</v>
      </c>
      <c r="F810">
        <v>2</v>
      </c>
      <c r="G810" t="s">
        <v>124</v>
      </c>
      <c r="H810" s="2">
        <v>46203.661851851852</v>
      </c>
      <c r="I810">
        <v>13</v>
      </c>
      <c r="J810" t="s">
        <v>120</v>
      </c>
      <c r="K810" s="8">
        <v>1</v>
      </c>
      <c r="L810">
        <v>8</v>
      </c>
      <c r="M810" t="s">
        <v>64</v>
      </c>
      <c r="N810">
        <v>26</v>
      </c>
      <c r="O810" t="s">
        <v>24</v>
      </c>
      <c r="P810" t="s">
        <v>82</v>
      </c>
      <c r="Q810" t="s">
        <v>83</v>
      </c>
      <c r="R810" s="7">
        <v>3</v>
      </c>
      <c r="S810" s="7">
        <v>3</v>
      </c>
      <c r="T810" t="s">
        <v>125</v>
      </c>
    </row>
    <row r="811" spans="1:20" x14ac:dyDescent="0.3">
      <c r="A811">
        <v>810</v>
      </c>
      <c r="B811" s="1">
        <v>44928</v>
      </c>
      <c r="C811">
        <v>2023</v>
      </c>
      <c r="D811">
        <v>1</v>
      </c>
      <c r="E811" t="s">
        <v>20</v>
      </c>
      <c r="F811">
        <v>2</v>
      </c>
      <c r="G811" t="s">
        <v>124</v>
      </c>
      <c r="H811" s="2">
        <v>46203.661851851852</v>
      </c>
      <c r="I811">
        <v>13</v>
      </c>
      <c r="J811" t="s">
        <v>120</v>
      </c>
      <c r="K811" s="8">
        <v>1</v>
      </c>
      <c r="L811">
        <v>8</v>
      </c>
      <c r="M811" t="s">
        <v>64</v>
      </c>
      <c r="N811">
        <v>79</v>
      </c>
      <c r="O811" t="s">
        <v>43</v>
      </c>
      <c r="P811" t="s">
        <v>44</v>
      </c>
      <c r="Q811" t="s">
        <v>62</v>
      </c>
      <c r="R811" s="7">
        <v>3.75</v>
      </c>
      <c r="S811" s="7">
        <v>3.75</v>
      </c>
      <c r="T811" t="s">
        <v>125</v>
      </c>
    </row>
    <row r="812" spans="1:20" x14ac:dyDescent="0.3">
      <c r="A812">
        <v>811</v>
      </c>
      <c r="B812" s="1">
        <v>44928</v>
      </c>
      <c r="C812">
        <v>2023</v>
      </c>
      <c r="D812">
        <v>1</v>
      </c>
      <c r="E812" t="s">
        <v>20</v>
      </c>
      <c r="F812">
        <v>2</v>
      </c>
      <c r="G812" t="s">
        <v>124</v>
      </c>
      <c r="H812" s="2">
        <v>46203.663634259261</v>
      </c>
      <c r="I812">
        <v>13</v>
      </c>
      <c r="J812" t="s">
        <v>120</v>
      </c>
      <c r="K812" s="8">
        <v>1</v>
      </c>
      <c r="L812">
        <v>8</v>
      </c>
      <c r="M812" t="s">
        <v>64</v>
      </c>
      <c r="N812">
        <v>23</v>
      </c>
      <c r="O812" t="s">
        <v>24</v>
      </c>
      <c r="P812" t="s">
        <v>40</v>
      </c>
      <c r="Q812" t="s">
        <v>94</v>
      </c>
      <c r="R812" s="7">
        <v>2.5</v>
      </c>
      <c r="S812" s="7">
        <v>2.5</v>
      </c>
      <c r="T812" t="s">
        <v>125</v>
      </c>
    </row>
    <row r="813" spans="1:20" x14ac:dyDescent="0.3">
      <c r="A813">
        <v>812</v>
      </c>
      <c r="B813" s="1">
        <v>44928</v>
      </c>
      <c r="C813">
        <v>2023</v>
      </c>
      <c r="D813">
        <v>1</v>
      </c>
      <c r="E813" t="s">
        <v>20</v>
      </c>
      <c r="F813">
        <v>2</v>
      </c>
      <c r="G813" t="s">
        <v>124</v>
      </c>
      <c r="H813" s="2">
        <v>46203.663634259261</v>
      </c>
      <c r="I813">
        <v>13</v>
      </c>
      <c r="J813" t="s">
        <v>120</v>
      </c>
      <c r="K813" s="8">
        <v>1</v>
      </c>
      <c r="L813">
        <v>8</v>
      </c>
      <c r="M813" t="s">
        <v>64</v>
      </c>
      <c r="N813">
        <v>71</v>
      </c>
      <c r="O813" t="s">
        <v>43</v>
      </c>
      <c r="P813" t="s">
        <v>78</v>
      </c>
      <c r="Q813" t="s">
        <v>79</v>
      </c>
      <c r="R813" s="7">
        <v>3.75</v>
      </c>
      <c r="S813" s="7">
        <v>3.75</v>
      </c>
      <c r="T813" t="s">
        <v>125</v>
      </c>
    </row>
    <row r="814" spans="1:20" x14ac:dyDescent="0.3">
      <c r="A814">
        <v>813</v>
      </c>
      <c r="B814" s="1">
        <v>44928</v>
      </c>
      <c r="C814">
        <v>2023</v>
      </c>
      <c r="D814">
        <v>1</v>
      </c>
      <c r="E814" t="s">
        <v>20</v>
      </c>
      <c r="F814">
        <v>2</v>
      </c>
      <c r="G814" t="s">
        <v>124</v>
      </c>
      <c r="H814" s="2">
        <v>46203.6641087963</v>
      </c>
      <c r="I814">
        <v>13</v>
      </c>
      <c r="J814" t="s">
        <v>120</v>
      </c>
      <c r="K814" s="8">
        <v>1</v>
      </c>
      <c r="L814">
        <v>5</v>
      </c>
      <c r="M814" t="s">
        <v>23</v>
      </c>
      <c r="N814">
        <v>39</v>
      </c>
      <c r="O814" t="s">
        <v>24</v>
      </c>
      <c r="P814" t="s">
        <v>48</v>
      </c>
      <c r="Q814" t="s">
        <v>49</v>
      </c>
      <c r="R814" s="7">
        <v>4.25</v>
      </c>
      <c r="S814" s="7">
        <v>4.25</v>
      </c>
      <c r="T814" t="s">
        <v>125</v>
      </c>
    </row>
    <row r="815" spans="1:20" x14ac:dyDescent="0.3">
      <c r="A815">
        <v>814</v>
      </c>
      <c r="B815" s="1">
        <v>44928</v>
      </c>
      <c r="C815">
        <v>2023</v>
      </c>
      <c r="D815">
        <v>1</v>
      </c>
      <c r="E815" t="s">
        <v>20</v>
      </c>
      <c r="F815">
        <v>2</v>
      </c>
      <c r="G815" t="s">
        <v>124</v>
      </c>
      <c r="H815" s="2">
        <v>46203.665266203701</v>
      </c>
      <c r="I815">
        <v>13</v>
      </c>
      <c r="J815" t="s">
        <v>120</v>
      </c>
      <c r="K815" s="8">
        <v>2</v>
      </c>
      <c r="L815">
        <v>8</v>
      </c>
      <c r="M815" t="s">
        <v>64</v>
      </c>
      <c r="N815">
        <v>38</v>
      </c>
      <c r="O815" t="s">
        <v>24</v>
      </c>
      <c r="P815" t="s">
        <v>48</v>
      </c>
      <c r="Q815" t="s">
        <v>81</v>
      </c>
      <c r="R815" s="7">
        <v>3.75</v>
      </c>
      <c r="S815" s="7">
        <v>7.5</v>
      </c>
      <c r="T815" t="s">
        <v>125</v>
      </c>
    </row>
    <row r="816" spans="1:20" x14ac:dyDescent="0.3">
      <c r="A816">
        <v>815</v>
      </c>
      <c r="B816" s="1">
        <v>44928</v>
      </c>
      <c r="C816">
        <v>2023</v>
      </c>
      <c r="D816">
        <v>1</v>
      </c>
      <c r="E816" t="s">
        <v>20</v>
      </c>
      <c r="F816">
        <v>2</v>
      </c>
      <c r="G816" t="s">
        <v>124</v>
      </c>
      <c r="H816" s="2">
        <v>46203.665625000001</v>
      </c>
      <c r="I816">
        <v>13</v>
      </c>
      <c r="J816" t="s">
        <v>120</v>
      </c>
      <c r="K816" s="8">
        <v>2</v>
      </c>
      <c r="L816">
        <v>3</v>
      </c>
      <c r="M816" t="s">
        <v>114</v>
      </c>
      <c r="N816">
        <v>36</v>
      </c>
      <c r="O816" t="s">
        <v>24</v>
      </c>
      <c r="P816" t="s">
        <v>99</v>
      </c>
      <c r="Q816" t="s">
        <v>102</v>
      </c>
      <c r="R816" s="7">
        <v>3.75</v>
      </c>
      <c r="S816" s="7">
        <v>7.5</v>
      </c>
      <c r="T816" t="s">
        <v>125</v>
      </c>
    </row>
    <row r="817" spans="1:20" x14ac:dyDescent="0.3">
      <c r="A817">
        <v>816</v>
      </c>
      <c r="B817" s="1">
        <v>44928</v>
      </c>
      <c r="C817">
        <v>2023</v>
      </c>
      <c r="D817">
        <v>1</v>
      </c>
      <c r="E817" t="s">
        <v>20</v>
      </c>
      <c r="F817">
        <v>2</v>
      </c>
      <c r="G817" t="s">
        <v>124</v>
      </c>
      <c r="H817" s="2">
        <v>46203.665694444448</v>
      </c>
      <c r="I817">
        <v>13</v>
      </c>
      <c r="J817" t="s">
        <v>120</v>
      </c>
      <c r="K817" s="8">
        <v>1</v>
      </c>
      <c r="L817">
        <v>3</v>
      </c>
      <c r="M817" t="s">
        <v>114</v>
      </c>
      <c r="N817">
        <v>39</v>
      </c>
      <c r="O817" t="s">
        <v>24</v>
      </c>
      <c r="P817" t="s">
        <v>48</v>
      </c>
      <c r="Q817" t="s">
        <v>49</v>
      </c>
      <c r="R817" s="7">
        <v>4.25</v>
      </c>
      <c r="S817" s="7">
        <v>4.25</v>
      </c>
      <c r="T817" t="s">
        <v>125</v>
      </c>
    </row>
    <row r="818" spans="1:20" x14ac:dyDescent="0.3">
      <c r="A818">
        <v>817</v>
      </c>
      <c r="B818" s="1">
        <v>44928</v>
      </c>
      <c r="C818">
        <v>2023</v>
      </c>
      <c r="D818">
        <v>1</v>
      </c>
      <c r="E818" t="s">
        <v>20</v>
      </c>
      <c r="F818">
        <v>2</v>
      </c>
      <c r="G818" t="s">
        <v>124</v>
      </c>
      <c r="H818" s="2">
        <v>46203.667627314811</v>
      </c>
      <c r="I818">
        <v>14</v>
      </c>
      <c r="J818" t="s">
        <v>120</v>
      </c>
      <c r="K818" s="8">
        <v>1</v>
      </c>
      <c r="L818">
        <v>8</v>
      </c>
      <c r="M818" t="s">
        <v>64</v>
      </c>
      <c r="N818">
        <v>46</v>
      </c>
      <c r="O818" t="s">
        <v>30</v>
      </c>
      <c r="P818" t="s">
        <v>60</v>
      </c>
      <c r="Q818" t="s">
        <v>95</v>
      </c>
      <c r="R818" s="7">
        <v>2.5</v>
      </c>
      <c r="S818" s="7">
        <v>2.5</v>
      </c>
      <c r="T818" t="s">
        <v>125</v>
      </c>
    </row>
    <row r="819" spans="1:20" x14ac:dyDescent="0.3">
      <c r="A819">
        <v>818</v>
      </c>
      <c r="B819" s="1">
        <v>44928</v>
      </c>
      <c r="C819">
        <v>2023</v>
      </c>
      <c r="D819">
        <v>1</v>
      </c>
      <c r="E819" t="s">
        <v>20</v>
      </c>
      <c r="F819">
        <v>2</v>
      </c>
      <c r="G819" t="s">
        <v>124</v>
      </c>
      <c r="H819" s="2">
        <v>46203.668240740742</v>
      </c>
      <c r="I819">
        <v>14</v>
      </c>
      <c r="J819" t="s">
        <v>120</v>
      </c>
      <c r="K819" s="8">
        <v>2</v>
      </c>
      <c r="L819">
        <v>8</v>
      </c>
      <c r="M819" t="s">
        <v>64</v>
      </c>
      <c r="N819">
        <v>25</v>
      </c>
      <c r="O819" t="s">
        <v>24</v>
      </c>
      <c r="P819" t="s">
        <v>82</v>
      </c>
      <c r="Q819" t="s">
        <v>96</v>
      </c>
      <c r="R819" s="7">
        <v>2.2000000000000002</v>
      </c>
      <c r="S819" s="7">
        <v>4.4000000000000004</v>
      </c>
      <c r="T819" t="s">
        <v>125</v>
      </c>
    </row>
    <row r="820" spans="1:20" x14ac:dyDescent="0.3">
      <c r="A820">
        <v>819</v>
      </c>
      <c r="B820" s="1">
        <v>44928</v>
      </c>
      <c r="C820">
        <v>2023</v>
      </c>
      <c r="D820">
        <v>1</v>
      </c>
      <c r="E820" t="s">
        <v>20</v>
      </c>
      <c r="F820">
        <v>2</v>
      </c>
      <c r="G820" t="s">
        <v>124</v>
      </c>
      <c r="H820" s="2">
        <v>46203.668564814812</v>
      </c>
      <c r="I820">
        <v>14</v>
      </c>
      <c r="J820" t="s">
        <v>120</v>
      </c>
      <c r="K820" s="8">
        <v>2</v>
      </c>
      <c r="L820">
        <v>3</v>
      </c>
      <c r="M820" t="s">
        <v>114</v>
      </c>
      <c r="N820">
        <v>22</v>
      </c>
      <c r="O820" t="s">
        <v>24</v>
      </c>
      <c r="P820" t="s">
        <v>40</v>
      </c>
      <c r="Q820" t="s">
        <v>41</v>
      </c>
      <c r="R820" s="7">
        <v>2</v>
      </c>
      <c r="S820" s="7">
        <v>4</v>
      </c>
      <c r="T820" t="s">
        <v>125</v>
      </c>
    </row>
    <row r="821" spans="1:20" x14ac:dyDescent="0.3">
      <c r="A821">
        <v>820</v>
      </c>
      <c r="B821" s="1">
        <v>44928</v>
      </c>
      <c r="C821">
        <v>2023</v>
      </c>
      <c r="D821">
        <v>1</v>
      </c>
      <c r="E821" t="s">
        <v>20</v>
      </c>
      <c r="F821">
        <v>2</v>
      </c>
      <c r="G821" t="s">
        <v>124</v>
      </c>
      <c r="H821" s="2">
        <v>46203.669062499997</v>
      </c>
      <c r="I821">
        <v>14</v>
      </c>
      <c r="J821" t="s">
        <v>120</v>
      </c>
      <c r="K821" s="8">
        <v>1</v>
      </c>
      <c r="L821">
        <v>3</v>
      </c>
      <c r="M821" t="s">
        <v>114</v>
      </c>
      <c r="N821">
        <v>59</v>
      </c>
      <c r="O821" t="s">
        <v>35</v>
      </c>
      <c r="P821" t="s">
        <v>36</v>
      </c>
      <c r="Q821" t="s">
        <v>37</v>
      </c>
      <c r="R821" s="7">
        <v>4.5</v>
      </c>
      <c r="S821" s="7">
        <v>4.5</v>
      </c>
      <c r="T821" t="s">
        <v>125</v>
      </c>
    </row>
    <row r="822" spans="1:20" x14ac:dyDescent="0.3">
      <c r="A822">
        <v>821</v>
      </c>
      <c r="B822" s="1">
        <v>44928</v>
      </c>
      <c r="C822">
        <v>2023</v>
      </c>
      <c r="D822">
        <v>1</v>
      </c>
      <c r="E822" t="s">
        <v>20</v>
      </c>
      <c r="F822">
        <v>2</v>
      </c>
      <c r="G822" t="s">
        <v>124</v>
      </c>
      <c r="H822" s="2">
        <v>46203.670451388891</v>
      </c>
      <c r="I822">
        <v>14</v>
      </c>
      <c r="J822" t="s">
        <v>120</v>
      </c>
      <c r="K822" s="8">
        <v>1</v>
      </c>
      <c r="L822">
        <v>5</v>
      </c>
      <c r="M822" t="s">
        <v>23</v>
      </c>
      <c r="N822">
        <v>56</v>
      </c>
      <c r="O822" t="s">
        <v>30</v>
      </c>
      <c r="P822" t="s">
        <v>31</v>
      </c>
      <c r="Q822" t="s">
        <v>54</v>
      </c>
      <c r="R822" s="7">
        <v>2.5499999999999998</v>
      </c>
      <c r="S822" s="7">
        <v>2.5499999999999998</v>
      </c>
      <c r="T822" t="s">
        <v>125</v>
      </c>
    </row>
    <row r="823" spans="1:20" x14ac:dyDescent="0.3">
      <c r="A823">
        <v>822</v>
      </c>
      <c r="B823" s="1">
        <v>44928</v>
      </c>
      <c r="C823">
        <v>2023</v>
      </c>
      <c r="D823">
        <v>1</v>
      </c>
      <c r="E823" t="s">
        <v>20</v>
      </c>
      <c r="F823">
        <v>2</v>
      </c>
      <c r="G823" t="s">
        <v>124</v>
      </c>
      <c r="H823" s="2">
        <v>46203.670451388891</v>
      </c>
      <c r="I823">
        <v>14</v>
      </c>
      <c r="J823" t="s">
        <v>120</v>
      </c>
      <c r="K823" s="8">
        <v>1</v>
      </c>
      <c r="L823">
        <v>5</v>
      </c>
      <c r="M823" t="s">
        <v>23</v>
      </c>
      <c r="N823">
        <v>75</v>
      </c>
      <c r="O823" t="s">
        <v>43</v>
      </c>
      <c r="P823" t="s">
        <v>78</v>
      </c>
      <c r="Q823" t="s">
        <v>115</v>
      </c>
      <c r="R823" s="7">
        <v>3.5</v>
      </c>
      <c r="S823" s="7">
        <v>3.5</v>
      </c>
      <c r="T823" t="s">
        <v>125</v>
      </c>
    </row>
    <row r="824" spans="1:20" x14ac:dyDescent="0.3">
      <c r="A824">
        <v>823</v>
      </c>
      <c r="B824" s="1">
        <v>44928</v>
      </c>
      <c r="C824">
        <v>2023</v>
      </c>
      <c r="D824">
        <v>1</v>
      </c>
      <c r="E824" t="s">
        <v>20</v>
      </c>
      <c r="F824">
        <v>2</v>
      </c>
      <c r="G824" t="s">
        <v>124</v>
      </c>
      <c r="H824" s="2">
        <v>46203.671724537038</v>
      </c>
      <c r="I824">
        <v>14</v>
      </c>
      <c r="J824" t="s">
        <v>120</v>
      </c>
      <c r="K824" s="8">
        <v>1</v>
      </c>
      <c r="L824">
        <v>3</v>
      </c>
      <c r="M824" t="s">
        <v>114</v>
      </c>
      <c r="N824">
        <v>37</v>
      </c>
      <c r="O824" t="s">
        <v>24</v>
      </c>
      <c r="P824" t="s">
        <v>48</v>
      </c>
      <c r="Q824" t="s">
        <v>107</v>
      </c>
      <c r="R824" s="7">
        <v>3</v>
      </c>
      <c r="S824" s="7">
        <v>3</v>
      </c>
      <c r="T824" t="s">
        <v>125</v>
      </c>
    </row>
    <row r="825" spans="1:20" x14ac:dyDescent="0.3">
      <c r="A825">
        <v>824</v>
      </c>
      <c r="B825" s="1">
        <v>44928</v>
      </c>
      <c r="C825">
        <v>2023</v>
      </c>
      <c r="D825">
        <v>1</v>
      </c>
      <c r="E825" t="s">
        <v>20</v>
      </c>
      <c r="F825">
        <v>2</v>
      </c>
      <c r="G825" t="s">
        <v>124</v>
      </c>
      <c r="H825" s="2">
        <v>46203.672094907408</v>
      </c>
      <c r="I825">
        <v>14</v>
      </c>
      <c r="J825" t="s">
        <v>120</v>
      </c>
      <c r="K825" s="8">
        <v>2</v>
      </c>
      <c r="L825">
        <v>5</v>
      </c>
      <c r="M825" t="s">
        <v>23</v>
      </c>
      <c r="N825">
        <v>60</v>
      </c>
      <c r="O825" t="s">
        <v>35</v>
      </c>
      <c r="P825" t="s">
        <v>36</v>
      </c>
      <c r="Q825" t="s">
        <v>90</v>
      </c>
      <c r="R825" s="7">
        <v>3.75</v>
      </c>
      <c r="S825" s="7">
        <v>7.5</v>
      </c>
      <c r="T825" t="s">
        <v>125</v>
      </c>
    </row>
    <row r="826" spans="1:20" x14ac:dyDescent="0.3">
      <c r="A826">
        <v>825</v>
      </c>
      <c r="B826" s="1">
        <v>44928</v>
      </c>
      <c r="C826">
        <v>2023</v>
      </c>
      <c r="D826">
        <v>1</v>
      </c>
      <c r="E826" t="s">
        <v>20</v>
      </c>
      <c r="F826">
        <v>2</v>
      </c>
      <c r="G826" t="s">
        <v>124</v>
      </c>
      <c r="H826" s="2">
        <v>46203.672789351855</v>
      </c>
      <c r="I826">
        <v>14</v>
      </c>
      <c r="J826" t="s">
        <v>120</v>
      </c>
      <c r="K826" s="8">
        <v>1</v>
      </c>
      <c r="L826">
        <v>3</v>
      </c>
      <c r="M826" t="s">
        <v>114</v>
      </c>
      <c r="N826">
        <v>40</v>
      </c>
      <c r="O826" t="s">
        <v>24</v>
      </c>
      <c r="P826" t="s">
        <v>48</v>
      </c>
      <c r="Q826" t="s">
        <v>74</v>
      </c>
      <c r="R826" s="7">
        <v>3.75</v>
      </c>
      <c r="S826" s="7">
        <v>3.75</v>
      </c>
      <c r="T826" t="s">
        <v>125</v>
      </c>
    </row>
    <row r="827" spans="1:20" x14ac:dyDescent="0.3">
      <c r="A827">
        <v>826</v>
      </c>
      <c r="B827" s="1">
        <v>44928</v>
      </c>
      <c r="C827">
        <v>2023</v>
      </c>
      <c r="D827">
        <v>1</v>
      </c>
      <c r="E827" t="s">
        <v>20</v>
      </c>
      <c r="F827">
        <v>2</v>
      </c>
      <c r="G827" t="s">
        <v>124</v>
      </c>
      <c r="H827" s="2">
        <v>46203.674398148149</v>
      </c>
      <c r="I827">
        <v>14</v>
      </c>
      <c r="J827" t="s">
        <v>120</v>
      </c>
      <c r="K827" s="8">
        <v>1</v>
      </c>
      <c r="L827">
        <v>5</v>
      </c>
      <c r="M827" t="s">
        <v>23</v>
      </c>
      <c r="N827">
        <v>28</v>
      </c>
      <c r="O827" t="s">
        <v>24</v>
      </c>
      <c r="P827" t="s">
        <v>25</v>
      </c>
      <c r="Q827" t="s">
        <v>46</v>
      </c>
      <c r="R827" s="7">
        <v>2</v>
      </c>
      <c r="S827" s="7">
        <v>2</v>
      </c>
      <c r="T827" t="s">
        <v>125</v>
      </c>
    </row>
    <row r="828" spans="1:20" x14ac:dyDescent="0.3">
      <c r="A828">
        <v>827</v>
      </c>
      <c r="B828" s="1">
        <v>44928</v>
      </c>
      <c r="C828">
        <v>2023</v>
      </c>
      <c r="D828">
        <v>1</v>
      </c>
      <c r="E828" t="s">
        <v>20</v>
      </c>
      <c r="F828">
        <v>2</v>
      </c>
      <c r="G828" t="s">
        <v>124</v>
      </c>
      <c r="H828" s="2">
        <v>46203.675000000003</v>
      </c>
      <c r="I828">
        <v>14</v>
      </c>
      <c r="J828" t="s">
        <v>120</v>
      </c>
      <c r="K828" s="8">
        <v>1</v>
      </c>
      <c r="L828">
        <v>8</v>
      </c>
      <c r="M828" t="s">
        <v>64</v>
      </c>
      <c r="N828">
        <v>46</v>
      </c>
      <c r="O828" t="s">
        <v>30</v>
      </c>
      <c r="P828" t="s">
        <v>60</v>
      </c>
      <c r="Q828" t="s">
        <v>95</v>
      </c>
      <c r="R828" s="7">
        <v>2.5</v>
      </c>
      <c r="S828" s="7">
        <v>2.5</v>
      </c>
      <c r="T828" t="s">
        <v>125</v>
      </c>
    </row>
    <row r="829" spans="1:20" x14ac:dyDescent="0.3">
      <c r="A829">
        <v>828</v>
      </c>
      <c r="B829" s="1">
        <v>44928</v>
      </c>
      <c r="C829">
        <v>2023</v>
      </c>
      <c r="D829">
        <v>1</v>
      </c>
      <c r="E829" t="s">
        <v>20</v>
      </c>
      <c r="F829">
        <v>2</v>
      </c>
      <c r="G829" t="s">
        <v>124</v>
      </c>
      <c r="H829" s="2">
        <v>46203.675081018519</v>
      </c>
      <c r="I829">
        <v>14</v>
      </c>
      <c r="J829" t="s">
        <v>120</v>
      </c>
      <c r="K829" s="8">
        <v>2</v>
      </c>
      <c r="L829">
        <v>5</v>
      </c>
      <c r="M829" t="s">
        <v>23</v>
      </c>
      <c r="N829">
        <v>51</v>
      </c>
      <c r="O829" t="s">
        <v>30</v>
      </c>
      <c r="P829" t="s">
        <v>57</v>
      </c>
      <c r="Q829" t="s">
        <v>58</v>
      </c>
      <c r="R829" s="7">
        <v>3</v>
      </c>
      <c r="S829" s="7">
        <v>6</v>
      </c>
      <c r="T829" t="s">
        <v>125</v>
      </c>
    </row>
    <row r="830" spans="1:20" x14ac:dyDescent="0.3">
      <c r="A830">
        <v>829</v>
      </c>
      <c r="B830" s="1">
        <v>44928</v>
      </c>
      <c r="C830">
        <v>2023</v>
      </c>
      <c r="D830">
        <v>1</v>
      </c>
      <c r="E830" t="s">
        <v>20</v>
      </c>
      <c r="F830">
        <v>2</v>
      </c>
      <c r="G830" t="s">
        <v>124</v>
      </c>
      <c r="H830" s="2">
        <v>46203.675405092596</v>
      </c>
      <c r="I830">
        <v>14</v>
      </c>
      <c r="J830" t="s">
        <v>120</v>
      </c>
      <c r="K830" s="8">
        <v>2</v>
      </c>
      <c r="L830">
        <v>3</v>
      </c>
      <c r="M830" t="s">
        <v>114</v>
      </c>
      <c r="N830">
        <v>54</v>
      </c>
      <c r="O830" t="s">
        <v>30</v>
      </c>
      <c r="P830" t="s">
        <v>31</v>
      </c>
      <c r="Q830" t="s">
        <v>87</v>
      </c>
      <c r="R830" s="7">
        <v>2.5</v>
      </c>
      <c r="S830" s="7">
        <v>5</v>
      </c>
      <c r="T830" t="s">
        <v>125</v>
      </c>
    </row>
    <row r="831" spans="1:20" x14ac:dyDescent="0.3">
      <c r="A831">
        <v>830</v>
      </c>
      <c r="B831" s="1">
        <v>44928</v>
      </c>
      <c r="C831">
        <v>2023</v>
      </c>
      <c r="D831">
        <v>1</v>
      </c>
      <c r="E831" t="s">
        <v>20</v>
      </c>
      <c r="F831">
        <v>2</v>
      </c>
      <c r="G831" t="s">
        <v>124</v>
      </c>
      <c r="H831" s="2">
        <v>46203.675405092596</v>
      </c>
      <c r="I831">
        <v>14</v>
      </c>
      <c r="J831" t="s">
        <v>120</v>
      </c>
      <c r="K831" s="8">
        <v>1</v>
      </c>
      <c r="L831">
        <v>3</v>
      </c>
      <c r="M831" t="s">
        <v>114</v>
      </c>
      <c r="N831">
        <v>72</v>
      </c>
      <c r="O831" t="s">
        <v>43</v>
      </c>
      <c r="P831" t="s">
        <v>44</v>
      </c>
      <c r="Q831" t="s">
        <v>109</v>
      </c>
      <c r="R831" s="7">
        <v>3.25</v>
      </c>
      <c r="S831" s="7">
        <v>3.25</v>
      </c>
      <c r="T831" t="s">
        <v>125</v>
      </c>
    </row>
    <row r="832" spans="1:20" x14ac:dyDescent="0.3">
      <c r="A832">
        <v>831</v>
      </c>
      <c r="B832" s="1">
        <v>44928</v>
      </c>
      <c r="C832">
        <v>2023</v>
      </c>
      <c r="D832">
        <v>1</v>
      </c>
      <c r="E832" t="s">
        <v>20</v>
      </c>
      <c r="F832">
        <v>2</v>
      </c>
      <c r="G832" t="s">
        <v>124</v>
      </c>
      <c r="H832" s="2">
        <v>46203.675995370373</v>
      </c>
      <c r="I832">
        <v>14</v>
      </c>
      <c r="J832" t="s">
        <v>120</v>
      </c>
      <c r="K832" s="8">
        <v>1</v>
      </c>
      <c r="L832">
        <v>8</v>
      </c>
      <c r="M832" t="s">
        <v>64</v>
      </c>
      <c r="N832">
        <v>55</v>
      </c>
      <c r="O832" t="s">
        <v>30</v>
      </c>
      <c r="P832" t="s">
        <v>31</v>
      </c>
      <c r="Q832" t="s">
        <v>88</v>
      </c>
      <c r="R832" s="7">
        <v>4</v>
      </c>
      <c r="S832" s="7">
        <v>4</v>
      </c>
      <c r="T832" t="s">
        <v>125</v>
      </c>
    </row>
    <row r="833" spans="1:20" x14ac:dyDescent="0.3">
      <c r="A833">
        <v>832</v>
      </c>
      <c r="B833" s="1">
        <v>44928</v>
      </c>
      <c r="C833">
        <v>2023</v>
      </c>
      <c r="D833">
        <v>1</v>
      </c>
      <c r="E833" t="s">
        <v>20</v>
      </c>
      <c r="F833">
        <v>2</v>
      </c>
      <c r="G833" t="s">
        <v>124</v>
      </c>
      <c r="H833" s="2">
        <v>46203.676122685189</v>
      </c>
      <c r="I833">
        <v>14</v>
      </c>
      <c r="J833" t="s">
        <v>120</v>
      </c>
      <c r="K833" s="8">
        <v>2</v>
      </c>
      <c r="L833">
        <v>5</v>
      </c>
      <c r="M833" t="s">
        <v>23</v>
      </c>
      <c r="N833">
        <v>25</v>
      </c>
      <c r="O833" t="s">
        <v>24</v>
      </c>
      <c r="P833" t="s">
        <v>82</v>
      </c>
      <c r="Q833" t="s">
        <v>96</v>
      </c>
      <c r="R833" s="7">
        <v>2.2000000000000002</v>
      </c>
      <c r="S833" s="7">
        <v>4.4000000000000004</v>
      </c>
      <c r="T833" t="s">
        <v>125</v>
      </c>
    </row>
    <row r="834" spans="1:20" x14ac:dyDescent="0.3">
      <c r="A834">
        <v>833</v>
      </c>
      <c r="B834" s="1">
        <v>44928</v>
      </c>
      <c r="C834">
        <v>2023</v>
      </c>
      <c r="D834">
        <v>1</v>
      </c>
      <c r="E834" t="s">
        <v>20</v>
      </c>
      <c r="F834">
        <v>2</v>
      </c>
      <c r="G834" t="s">
        <v>124</v>
      </c>
      <c r="H834" s="2">
        <v>46203.676689814813</v>
      </c>
      <c r="I834">
        <v>14</v>
      </c>
      <c r="J834" t="s">
        <v>120</v>
      </c>
      <c r="K834" s="8">
        <v>2</v>
      </c>
      <c r="L834">
        <v>3</v>
      </c>
      <c r="M834" t="s">
        <v>114</v>
      </c>
      <c r="N834">
        <v>58</v>
      </c>
      <c r="O834" t="s">
        <v>35</v>
      </c>
      <c r="P834" t="s">
        <v>36</v>
      </c>
      <c r="Q834" t="s">
        <v>51</v>
      </c>
      <c r="R834" s="7">
        <v>3.5</v>
      </c>
      <c r="S834" s="7">
        <v>7</v>
      </c>
      <c r="T834" t="s">
        <v>125</v>
      </c>
    </row>
    <row r="835" spans="1:20" x14ac:dyDescent="0.3">
      <c r="A835">
        <v>834</v>
      </c>
      <c r="B835" s="1">
        <v>44928</v>
      </c>
      <c r="C835">
        <v>2023</v>
      </c>
      <c r="D835">
        <v>1</v>
      </c>
      <c r="E835" t="s">
        <v>20</v>
      </c>
      <c r="F835">
        <v>2</v>
      </c>
      <c r="G835" t="s">
        <v>124</v>
      </c>
      <c r="H835" s="2">
        <v>46203.678564814814</v>
      </c>
      <c r="I835">
        <v>14</v>
      </c>
      <c r="J835" t="s">
        <v>120</v>
      </c>
      <c r="K835" s="8">
        <v>1</v>
      </c>
      <c r="L835">
        <v>3</v>
      </c>
      <c r="M835" t="s">
        <v>114</v>
      </c>
      <c r="N835">
        <v>23</v>
      </c>
      <c r="O835" t="s">
        <v>24</v>
      </c>
      <c r="P835" t="s">
        <v>40</v>
      </c>
      <c r="Q835" t="s">
        <v>94</v>
      </c>
      <c r="R835" s="7">
        <v>2.5</v>
      </c>
      <c r="S835" s="7">
        <v>2.5</v>
      </c>
      <c r="T835" t="s">
        <v>125</v>
      </c>
    </row>
    <row r="836" spans="1:20" x14ac:dyDescent="0.3">
      <c r="A836">
        <v>835</v>
      </c>
      <c r="B836" s="1">
        <v>44928</v>
      </c>
      <c r="C836">
        <v>2023</v>
      </c>
      <c r="D836">
        <v>1</v>
      </c>
      <c r="E836" t="s">
        <v>20</v>
      </c>
      <c r="F836">
        <v>2</v>
      </c>
      <c r="G836" t="s">
        <v>124</v>
      </c>
      <c r="H836" s="2">
        <v>46203.679108796299</v>
      </c>
      <c r="I836">
        <v>14</v>
      </c>
      <c r="J836" t="s">
        <v>120</v>
      </c>
      <c r="K836" s="8">
        <v>2</v>
      </c>
      <c r="L836">
        <v>3</v>
      </c>
      <c r="M836" t="s">
        <v>114</v>
      </c>
      <c r="N836">
        <v>61</v>
      </c>
      <c r="O836" t="s">
        <v>35</v>
      </c>
      <c r="P836" t="s">
        <v>36</v>
      </c>
      <c r="Q836" t="s">
        <v>68</v>
      </c>
      <c r="R836" s="7">
        <v>4.75</v>
      </c>
      <c r="S836" s="7">
        <v>9.5</v>
      </c>
      <c r="T836" t="s">
        <v>125</v>
      </c>
    </row>
    <row r="837" spans="1:20" x14ac:dyDescent="0.3">
      <c r="A837">
        <v>836</v>
      </c>
      <c r="B837" s="1">
        <v>44928</v>
      </c>
      <c r="C837">
        <v>2023</v>
      </c>
      <c r="D837">
        <v>1</v>
      </c>
      <c r="E837" t="s">
        <v>20</v>
      </c>
      <c r="F837">
        <v>2</v>
      </c>
      <c r="G837" t="s">
        <v>124</v>
      </c>
      <c r="H837" s="2">
        <v>46203.679108796299</v>
      </c>
      <c r="I837">
        <v>14</v>
      </c>
      <c r="J837" t="s">
        <v>120</v>
      </c>
      <c r="K837" s="8">
        <v>1</v>
      </c>
      <c r="L837">
        <v>3</v>
      </c>
      <c r="M837" t="s">
        <v>114</v>
      </c>
      <c r="N837">
        <v>75</v>
      </c>
      <c r="O837" t="s">
        <v>43</v>
      </c>
      <c r="P837" t="s">
        <v>78</v>
      </c>
      <c r="Q837" t="s">
        <v>115</v>
      </c>
      <c r="R837" s="7">
        <v>3.5</v>
      </c>
      <c r="S837" s="7">
        <v>3.5</v>
      </c>
      <c r="T837" t="s">
        <v>125</v>
      </c>
    </row>
    <row r="838" spans="1:20" x14ac:dyDescent="0.3">
      <c r="A838">
        <v>837</v>
      </c>
      <c r="B838" s="1">
        <v>44928</v>
      </c>
      <c r="C838">
        <v>2023</v>
      </c>
      <c r="D838">
        <v>1</v>
      </c>
      <c r="E838" t="s">
        <v>20</v>
      </c>
      <c r="F838">
        <v>2</v>
      </c>
      <c r="G838" t="s">
        <v>124</v>
      </c>
      <c r="H838" s="2">
        <v>46203.680138888885</v>
      </c>
      <c r="I838">
        <v>14</v>
      </c>
      <c r="J838" t="s">
        <v>120</v>
      </c>
      <c r="K838" s="8">
        <v>1</v>
      </c>
      <c r="L838">
        <v>3</v>
      </c>
      <c r="M838" t="s">
        <v>114</v>
      </c>
      <c r="N838">
        <v>49</v>
      </c>
      <c r="O838" t="s">
        <v>30</v>
      </c>
      <c r="P838" t="s">
        <v>57</v>
      </c>
      <c r="Q838" t="s">
        <v>117</v>
      </c>
      <c r="R838" s="7">
        <v>3</v>
      </c>
      <c r="S838" s="7">
        <v>3</v>
      </c>
      <c r="T838" t="s">
        <v>125</v>
      </c>
    </row>
    <row r="839" spans="1:20" x14ac:dyDescent="0.3">
      <c r="A839">
        <v>838</v>
      </c>
      <c r="B839" s="1">
        <v>44928</v>
      </c>
      <c r="C839">
        <v>2023</v>
      </c>
      <c r="D839">
        <v>1</v>
      </c>
      <c r="E839" t="s">
        <v>20</v>
      </c>
      <c r="F839">
        <v>2</v>
      </c>
      <c r="G839" t="s">
        <v>124</v>
      </c>
      <c r="H839" s="2">
        <v>46203.681886574072</v>
      </c>
      <c r="I839">
        <v>14</v>
      </c>
      <c r="J839" t="s">
        <v>120</v>
      </c>
      <c r="K839" s="8">
        <v>2</v>
      </c>
      <c r="L839">
        <v>8</v>
      </c>
      <c r="M839" t="s">
        <v>64</v>
      </c>
      <c r="N839">
        <v>41</v>
      </c>
      <c r="O839" t="s">
        <v>24</v>
      </c>
      <c r="P839" t="s">
        <v>48</v>
      </c>
      <c r="Q839" t="s">
        <v>105</v>
      </c>
      <c r="R839" s="7">
        <v>4.25</v>
      </c>
      <c r="S839" s="7">
        <v>8.5</v>
      </c>
      <c r="T839" t="s">
        <v>125</v>
      </c>
    </row>
    <row r="840" spans="1:20" x14ac:dyDescent="0.3">
      <c r="A840">
        <v>839</v>
      </c>
      <c r="B840" s="1">
        <v>44928</v>
      </c>
      <c r="C840">
        <v>2023</v>
      </c>
      <c r="D840">
        <v>1</v>
      </c>
      <c r="E840" t="s">
        <v>20</v>
      </c>
      <c r="F840">
        <v>2</v>
      </c>
      <c r="G840" t="s">
        <v>124</v>
      </c>
      <c r="H840" s="2">
        <v>46203.683865740742</v>
      </c>
      <c r="I840">
        <v>14</v>
      </c>
      <c r="J840" t="s">
        <v>120</v>
      </c>
      <c r="K840" s="8">
        <v>1</v>
      </c>
      <c r="L840">
        <v>3</v>
      </c>
      <c r="M840" t="s">
        <v>114</v>
      </c>
      <c r="N840">
        <v>30</v>
      </c>
      <c r="O840" t="s">
        <v>24</v>
      </c>
      <c r="P840" t="s">
        <v>25</v>
      </c>
      <c r="Q840" t="s">
        <v>119</v>
      </c>
      <c r="R840" s="7">
        <v>3</v>
      </c>
      <c r="S840" s="7">
        <v>3</v>
      </c>
      <c r="T840" t="s">
        <v>125</v>
      </c>
    </row>
    <row r="841" spans="1:20" x14ac:dyDescent="0.3">
      <c r="A841">
        <v>840</v>
      </c>
      <c r="B841" s="1">
        <v>44928</v>
      </c>
      <c r="C841">
        <v>2023</v>
      </c>
      <c r="D841">
        <v>1</v>
      </c>
      <c r="E841" t="s">
        <v>20</v>
      </c>
      <c r="F841">
        <v>2</v>
      </c>
      <c r="G841" t="s">
        <v>124</v>
      </c>
      <c r="H841" s="2">
        <v>46203.684432870374</v>
      </c>
      <c r="I841">
        <v>14</v>
      </c>
      <c r="J841" t="s">
        <v>120</v>
      </c>
      <c r="K841" s="8">
        <v>1</v>
      </c>
      <c r="L841">
        <v>8</v>
      </c>
      <c r="M841" t="s">
        <v>64</v>
      </c>
      <c r="N841">
        <v>31</v>
      </c>
      <c r="O841" t="s">
        <v>24</v>
      </c>
      <c r="P841" t="s">
        <v>25</v>
      </c>
      <c r="Q841" t="s">
        <v>116</v>
      </c>
      <c r="R841" s="7">
        <v>2.2000000000000002</v>
      </c>
      <c r="S841" s="7">
        <v>2.2000000000000002</v>
      </c>
      <c r="T841" t="s">
        <v>125</v>
      </c>
    </row>
    <row r="842" spans="1:20" x14ac:dyDescent="0.3">
      <c r="A842">
        <v>841</v>
      </c>
      <c r="B842" s="1">
        <v>44928</v>
      </c>
      <c r="C842">
        <v>2023</v>
      </c>
      <c r="D842">
        <v>1</v>
      </c>
      <c r="E842" t="s">
        <v>20</v>
      </c>
      <c r="F842">
        <v>2</v>
      </c>
      <c r="G842" t="s">
        <v>124</v>
      </c>
      <c r="H842" s="2">
        <v>46203.685104166667</v>
      </c>
      <c r="I842">
        <v>14</v>
      </c>
      <c r="J842" t="s">
        <v>120</v>
      </c>
      <c r="K842" s="8">
        <v>1</v>
      </c>
      <c r="L842">
        <v>8</v>
      </c>
      <c r="M842" t="s">
        <v>64</v>
      </c>
      <c r="N842">
        <v>36</v>
      </c>
      <c r="O842" t="s">
        <v>24</v>
      </c>
      <c r="P842" t="s">
        <v>99</v>
      </c>
      <c r="Q842" t="s">
        <v>102</v>
      </c>
      <c r="R842" s="7">
        <v>3.75</v>
      </c>
      <c r="S842" s="7">
        <v>3.75</v>
      </c>
      <c r="T842" t="s">
        <v>125</v>
      </c>
    </row>
    <row r="843" spans="1:20" x14ac:dyDescent="0.3">
      <c r="A843">
        <v>842</v>
      </c>
      <c r="B843" s="1">
        <v>44928</v>
      </c>
      <c r="C843">
        <v>2023</v>
      </c>
      <c r="D843">
        <v>1</v>
      </c>
      <c r="E843" t="s">
        <v>20</v>
      </c>
      <c r="F843">
        <v>2</v>
      </c>
      <c r="G843" t="s">
        <v>124</v>
      </c>
      <c r="H843" s="2">
        <v>46203.687210648146</v>
      </c>
      <c r="I843">
        <v>14</v>
      </c>
      <c r="J843" t="s">
        <v>120</v>
      </c>
      <c r="K843" s="8">
        <v>2</v>
      </c>
      <c r="L843">
        <v>3</v>
      </c>
      <c r="M843" t="s">
        <v>114</v>
      </c>
      <c r="N843">
        <v>43</v>
      </c>
      <c r="O843" t="s">
        <v>30</v>
      </c>
      <c r="P843" t="s">
        <v>65</v>
      </c>
      <c r="Q843" t="s">
        <v>75</v>
      </c>
      <c r="R843" s="7">
        <v>3</v>
      </c>
      <c r="S843" s="7">
        <v>6</v>
      </c>
      <c r="T843" t="s">
        <v>125</v>
      </c>
    </row>
    <row r="844" spans="1:20" x14ac:dyDescent="0.3">
      <c r="A844">
        <v>843</v>
      </c>
      <c r="B844" s="1">
        <v>44928</v>
      </c>
      <c r="C844">
        <v>2023</v>
      </c>
      <c r="D844">
        <v>1</v>
      </c>
      <c r="E844" t="s">
        <v>20</v>
      </c>
      <c r="F844">
        <v>2</v>
      </c>
      <c r="G844" t="s">
        <v>124</v>
      </c>
      <c r="H844" s="2">
        <v>46203.687210648146</v>
      </c>
      <c r="I844">
        <v>14</v>
      </c>
      <c r="J844" t="s">
        <v>120</v>
      </c>
      <c r="K844" s="8">
        <v>1</v>
      </c>
      <c r="L844">
        <v>3</v>
      </c>
      <c r="M844" t="s">
        <v>114</v>
      </c>
      <c r="N844">
        <v>71</v>
      </c>
      <c r="O844" t="s">
        <v>43</v>
      </c>
      <c r="P844" t="s">
        <v>78</v>
      </c>
      <c r="Q844" t="s">
        <v>79</v>
      </c>
      <c r="R844" s="7">
        <v>3.75</v>
      </c>
      <c r="S844" s="7">
        <v>3.75</v>
      </c>
      <c r="T844" t="s">
        <v>125</v>
      </c>
    </row>
    <row r="845" spans="1:20" x14ac:dyDescent="0.3">
      <c r="A845">
        <v>844</v>
      </c>
      <c r="B845" s="1">
        <v>44928</v>
      </c>
      <c r="C845">
        <v>2023</v>
      </c>
      <c r="D845">
        <v>1</v>
      </c>
      <c r="E845" t="s">
        <v>20</v>
      </c>
      <c r="F845">
        <v>2</v>
      </c>
      <c r="G845" t="s">
        <v>124</v>
      </c>
      <c r="H845" s="2">
        <v>46203.689884259256</v>
      </c>
      <c r="I845">
        <v>14</v>
      </c>
      <c r="J845" t="s">
        <v>120</v>
      </c>
      <c r="K845" s="8">
        <v>1</v>
      </c>
      <c r="L845">
        <v>3</v>
      </c>
      <c r="M845" t="s">
        <v>114</v>
      </c>
      <c r="N845">
        <v>22</v>
      </c>
      <c r="O845" t="s">
        <v>24</v>
      </c>
      <c r="P845" t="s">
        <v>40</v>
      </c>
      <c r="Q845" t="s">
        <v>41</v>
      </c>
      <c r="R845" s="7">
        <v>2</v>
      </c>
      <c r="S845" s="7">
        <v>2</v>
      </c>
      <c r="T845" t="s">
        <v>125</v>
      </c>
    </row>
    <row r="846" spans="1:20" x14ac:dyDescent="0.3">
      <c r="A846">
        <v>845</v>
      </c>
      <c r="B846" s="1">
        <v>44928</v>
      </c>
      <c r="C846">
        <v>2023</v>
      </c>
      <c r="D846">
        <v>1</v>
      </c>
      <c r="E846" t="s">
        <v>20</v>
      </c>
      <c r="F846">
        <v>2</v>
      </c>
      <c r="G846" t="s">
        <v>124</v>
      </c>
      <c r="H846" s="2">
        <v>46203.690254629626</v>
      </c>
      <c r="I846">
        <v>14</v>
      </c>
      <c r="J846" t="s">
        <v>120</v>
      </c>
      <c r="K846" s="8">
        <v>2</v>
      </c>
      <c r="L846">
        <v>5</v>
      </c>
      <c r="M846" t="s">
        <v>23</v>
      </c>
      <c r="N846">
        <v>37</v>
      </c>
      <c r="O846" t="s">
        <v>24</v>
      </c>
      <c r="P846" t="s">
        <v>48</v>
      </c>
      <c r="Q846" t="s">
        <v>107</v>
      </c>
      <c r="R846" s="7">
        <v>3</v>
      </c>
      <c r="S846" s="7">
        <v>6</v>
      </c>
      <c r="T846" t="s">
        <v>125</v>
      </c>
    </row>
    <row r="847" spans="1:20" x14ac:dyDescent="0.3">
      <c r="A847">
        <v>846</v>
      </c>
      <c r="B847" s="1">
        <v>44928</v>
      </c>
      <c r="C847">
        <v>2023</v>
      </c>
      <c r="D847">
        <v>1</v>
      </c>
      <c r="E847" t="s">
        <v>20</v>
      </c>
      <c r="F847">
        <v>2</v>
      </c>
      <c r="G847" t="s">
        <v>124</v>
      </c>
      <c r="H847" s="2">
        <v>46203.690891203703</v>
      </c>
      <c r="I847">
        <v>14</v>
      </c>
      <c r="J847" t="s">
        <v>120</v>
      </c>
      <c r="K847" s="8">
        <v>1</v>
      </c>
      <c r="L847">
        <v>3</v>
      </c>
      <c r="M847" t="s">
        <v>114</v>
      </c>
      <c r="N847">
        <v>48</v>
      </c>
      <c r="O847" t="s">
        <v>30</v>
      </c>
      <c r="P847" t="s">
        <v>57</v>
      </c>
      <c r="Q847" t="s">
        <v>93</v>
      </c>
      <c r="R847" s="7">
        <v>2.5</v>
      </c>
      <c r="S847" s="7">
        <v>2.5</v>
      </c>
      <c r="T847" t="s">
        <v>125</v>
      </c>
    </row>
    <row r="848" spans="1:20" x14ac:dyDescent="0.3">
      <c r="A848">
        <v>847</v>
      </c>
      <c r="B848" s="1">
        <v>44928</v>
      </c>
      <c r="C848">
        <v>2023</v>
      </c>
      <c r="D848">
        <v>1</v>
      </c>
      <c r="E848" t="s">
        <v>20</v>
      </c>
      <c r="F848">
        <v>2</v>
      </c>
      <c r="G848" t="s">
        <v>124</v>
      </c>
      <c r="H848" s="2">
        <v>46203.692314814813</v>
      </c>
      <c r="I848">
        <v>14</v>
      </c>
      <c r="J848" t="s">
        <v>120</v>
      </c>
      <c r="K848" s="8">
        <v>2</v>
      </c>
      <c r="L848">
        <v>5</v>
      </c>
      <c r="M848" t="s">
        <v>23</v>
      </c>
      <c r="N848">
        <v>87</v>
      </c>
      <c r="O848" t="s">
        <v>24</v>
      </c>
      <c r="P848" t="s">
        <v>48</v>
      </c>
      <c r="Q848" t="s">
        <v>59</v>
      </c>
      <c r="R848" s="7">
        <v>3</v>
      </c>
      <c r="S848" s="7">
        <v>6</v>
      </c>
      <c r="T848" t="s">
        <v>125</v>
      </c>
    </row>
    <row r="849" spans="1:20" x14ac:dyDescent="0.3">
      <c r="A849">
        <v>848</v>
      </c>
      <c r="B849" s="1">
        <v>44928</v>
      </c>
      <c r="C849">
        <v>2023</v>
      </c>
      <c r="D849">
        <v>1</v>
      </c>
      <c r="E849" t="s">
        <v>20</v>
      </c>
      <c r="F849">
        <v>2</v>
      </c>
      <c r="G849" t="s">
        <v>124</v>
      </c>
      <c r="H849" s="2">
        <v>46203.692870370367</v>
      </c>
      <c r="I849">
        <v>14</v>
      </c>
      <c r="J849" t="s">
        <v>120</v>
      </c>
      <c r="K849" s="8">
        <v>2</v>
      </c>
      <c r="L849">
        <v>8</v>
      </c>
      <c r="M849" t="s">
        <v>64</v>
      </c>
      <c r="N849">
        <v>52</v>
      </c>
      <c r="O849" t="s">
        <v>30</v>
      </c>
      <c r="P849" t="s">
        <v>31</v>
      </c>
      <c r="Q849" t="s">
        <v>118</v>
      </c>
      <c r="R849" s="7">
        <v>2.5</v>
      </c>
      <c r="S849" s="7">
        <v>5</v>
      </c>
      <c r="T849" t="s">
        <v>125</v>
      </c>
    </row>
    <row r="850" spans="1:20" x14ac:dyDescent="0.3">
      <c r="A850">
        <v>849</v>
      </c>
      <c r="B850" s="1">
        <v>44928</v>
      </c>
      <c r="C850">
        <v>2023</v>
      </c>
      <c r="D850">
        <v>1</v>
      </c>
      <c r="E850" t="s">
        <v>20</v>
      </c>
      <c r="F850">
        <v>2</v>
      </c>
      <c r="G850" t="s">
        <v>124</v>
      </c>
      <c r="H850" s="2">
        <v>46203.693958333337</v>
      </c>
      <c r="I850">
        <v>14</v>
      </c>
      <c r="J850" t="s">
        <v>120</v>
      </c>
      <c r="K850" s="8">
        <v>1</v>
      </c>
      <c r="L850">
        <v>8</v>
      </c>
      <c r="M850" t="s">
        <v>64</v>
      </c>
      <c r="N850">
        <v>24</v>
      </c>
      <c r="O850" t="s">
        <v>24</v>
      </c>
      <c r="P850" t="s">
        <v>40</v>
      </c>
      <c r="Q850" t="s">
        <v>89</v>
      </c>
      <c r="R850" s="7">
        <v>3</v>
      </c>
      <c r="S850" s="7">
        <v>3</v>
      </c>
      <c r="T850" t="s">
        <v>125</v>
      </c>
    </row>
    <row r="851" spans="1:20" x14ac:dyDescent="0.3">
      <c r="A851">
        <v>850</v>
      </c>
      <c r="B851" s="1">
        <v>44928</v>
      </c>
      <c r="C851">
        <v>2023</v>
      </c>
      <c r="D851">
        <v>1</v>
      </c>
      <c r="E851" t="s">
        <v>20</v>
      </c>
      <c r="F851">
        <v>2</v>
      </c>
      <c r="G851" t="s">
        <v>124</v>
      </c>
      <c r="H851" s="2">
        <v>46203.694733796299</v>
      </c>
      <c r="I851">
        <v>14</v>
      </c>
      <c r="J851" t="s">
        <v>120</v>
      </c>
      <c r="K851" s="8">
        <v>2</v>
      </c>
      <c r="L851">
        <v>3</v>
      </c>
      <c r="M851" t="s">
        <v>114</v>
      </c>
      <c r="N851">
        <v>40</v>
      </c>
      <c r="O851" t="s">
        <v>24</v>
      </c>
      <c r="P851" t="s">
        <v>48</v>
      </c>
      <c r="Q851" t="s">
        <v>74</v>
      </c>
      <c r="R851" s="7">
        <v>3.75</v>
      </c>
      <c r="S851" s="7">
        <v>7.5</v>
      </c>
      <c r="T851" t="s">
        <v>125</v>
      </c>
    </row>
    <row r="852" spans="1:20" x14ac:dyDescent="0.3">
      <c r="A852">
        <v>851</v>
      </c>
      <c r="B852" s="1">
        <v>44928</v>
      </c>
      <c r="C852">
        <v>2023</v>
      </c>
      <c r="D852">
        <v>1</v>
      </c>
      <c r="E852" t="s">
        <v>20</v>
      </c>
      <c r="F852">
        <v>2</v>
      </c>
      <c r="G852" t="s">
        <v>124</v>
      </c>
      <c r="H852" s="2">
        <v>46203.696076388886</v>
      </c>
      <c r="I852">
        <v>14</v>
      </c>
      <c r="J852" t="s">
        <v>120</v>
      </c>
      <c r="K852" s="8">
        <v>1</v>
      </c>
      <c r="L852">
        <v>3</v>
      </c>
      <c r="M852" t="s">
        <v>114</v>
      </c>
      <c r="N852">
        <v>47</v>
      </c>
      <c r="O852" t="s">
        <v>30</v>
      </c>
      <c r="P852" t="s">
        <v>60</v>
      </c>
      <c r="Q852" t="s">
        <v>61</v>
      </c>
      <c r="R852" s="7">
        <v>3</v>
      </c>
      <c r="S852" s="7">
        <v>3</v>
      </c>
      <c r="T852" t="s">
        <v>125</v>
      </c>
    </row>
    <row r="853" spans="1:20" x14ac:dyDescent="0.3">
      <c r="A853">
        <v>852</v>
      </c>
      <c r="B853" s="1">
        <v>44928</v>
      </c>
      <c r="C853">
        <v>2023</v>
      </c>
      <c r="D853">
        <v>1</v>
      </c>
      <c r="E853" t="s">
        <v>20</v>
      </c>
      <c r="F853">
        <v>2</v>
      </c>
      <c r="G853" t="s">
        <v>124</v>
      </c>
      <c r="H853" s="2">
        <v>46203.696076388886</v>
      </c>
      <c r="I853">
        <v>14</v>
      </c>
      <c r="J853" t="s">
        <v>120</v>
      </c>
      <c r="K853" s="8">
        <v>1</v>
      </c>
      <c r="L853">
        <v>3</v>
      </c>
      <c r="M853" t="s">
        <v>114</v>
      </c>
      <c r="N853">
        <v>72</v>
      </c>
      <c r="O853" t="s">
        <v>43</v>
      </c>
      <c r="P853" t="s">
        <v>44</v>
      </c>
      <c r="Q853" t="s">
        <v>109</v>
      </c>
      <c r="R853" s="7">
        <v>3.25</v>
      </c>
      <c r="S853" s="7">
        <v>3.25</v>
      </c>
      <c r="T853" t="s">
        <v>125</v>
      </c>
    </row>
    <row r="854" spans="1:20" x14ac:dyDescent="0.3">
      <c r="A854">
        <v>853</v>
      </c>
      <c r="B854" s="1">
        <v>44928</v>
      </c>
      <c r="C854">
        <v>2023</v>
      </c>
      <c r="D854">
        <v>1</v>
      </c>
      <c r="E854" t="s">
        <v>20</v>
      </c>
      <c r="F854">
        <v>2</v>
      </c>
      <c r="G854" t="s">
        <v>124</v>
      </c>
      <c r="H854" s="2">
        <v>46203.697546296295</v>
      </c>
      <c r="I854">
        <v>14</v>
      </c>
      <c r="J854" t="s">
        <v>120</v>
      </c>
      <c r="K854" s="8">
        <v>2</v>
      </c>
      <c r="L854">
        <v>5</v>
      </c>
      <c r="M854" t="s">
        <v>23</v>
      </c>
      <c r="N854">
        <v>52</v>
      </c>
      <c r="O854" t="s">
        <v>30</v>
      </c>
      <c r="P854" t="s">
        <v>31</v>
      </c>
      <c r="Q854" t="s">
        <v>118</v>
      </c>
      <c r="R854" s="7">
        <v>2.5</v>
      </c>
      <c r="S854" s="7">
        <v>5</v>
      </c>
      <c r="T854" t="s">
        <v>125</v>
      </c>
    </row>
    <row r="855" spans="1:20" x14ac:dyDescent="0.3">
      <c r="A855">
        <v>854</v>
      </c>
      <c r="B855" s="1">
        <v>44928</v>
      </c>
      <c r="C855">
        <v>2023</v>
      </c>
      <c r="D855">
        <v>1</v>
      </c>
      <c r="E855" t="s">
        <v>20</v>
      </c>
      <c r="F855">
        <v>2</v>
      </c>
      <c r="G855" t="s">
        <v>124</v>
      </c>
      <c r="H855" s="2">
        <v>46203.698969907404</v>
      </c>
      <c r="I855">
        <v>14</v>
      </c>
      <c r="J855" t="s">
        <v>120</v>
      </c>
      <c r="K855" s="8">
        <v>2</v>
      </c>
      <c r="L855">
        <v>8</v>
      </c>
      <c r="M855" t="s">
        <v>64</v>
      </c>
      <c r="N855">
        <v>23</v>
      </c>
      <c r="O855" t="s">
        <v>24</v>
      </c>
      <c r="P855" t="s">
        <v>40</v>
      </c>
      <c r="Q855" t="s">
        <v>94</v>
      </c>
      <c r="R855" s="7">
        <v>2.5</v>
      </c>
      <c r="S855" s="7">
        <v>5</v>
      </c>
      <c r="T855" t="s">
        <v>125</v>
      </c>
    </row>
    <row r="856" spans="1:20" x14ac:dyDescent="0.3">
      <c r="A856">
        <v>855</v>
      </c>
      <c r="B856" s="1">
        <v>44928</v>
      </c>
      <c r="C856">
        <v>2023</v>
      </c>
      <c r="D856">
        <v>1</v>
      </c>
      <c r="E856" t="s">
        <v>20</v>
      </c>
      <c r="F856">
        <v>2</v>
      </c>
      <c r="G856" t="s">
        <v>124</v>
      </c>
      <c r="H856" s="2">
        <v>46203.700023148151</v>
      </c>
      <c r="I856">
        <v>14</v>
      </c>
      <c r="J856" t="s">
        <v>120</v>
      </c>
      <c r="K856" s="8">
        <v>2</v>
      </c>
      <c r="L856">
        <v>5</v>
      </c>
      <c r="M856" t="s">
        <v>23</v>
      </c>
      <c r="N856">
        <v>27</v>
      </c>
      <c r="O856" t="s">
        <v>24</v>
      </c>
      <c r="P856" t="s">
        <v>82</v>
      </c>
      <c r="Q856" t="s">
        <v>84</v>
      </c>
      <c r="R856" s="7">
        <v>3.5</v>
      </c>
      <c r="S856" s="7">
        <v>7</v>
      </c>
      <c r="T856" t="s">
        <v>125</v>
      </c>
    </row>
    <row r="857" spans="1:20" x14ac:dyDescent="0.3">
      <c r="A857">
        <v>856</v>
      </c>
      <c r="B857" s="1">
        <v>44928</v>
      </c>
      <c r="C857">
        <v>2023</v>
      </c>
      <c r="D857">
        <v>1</v>
      </c>
      <c r="E857" t="s">
        <v>20</v>
      </c>
      <c r="F857">
        <v>2</v>
      </c>
      <c r="G857" t="s">
        <v>124</v>
      </c>
      <c r="H857" s="2">
        <v>46203.700057870374</v>
      </c>
      <c r="I857">
        <v>14</v>
      </c>
      <c r="J857" t="s">
        <v>120</v>
      </c>
      <c r="K857" s="8">
        <v>1</v>
      </c>
      <c r="L857">
        <v>5</v>
      </c>
      <c r="M857" t="s">
        <v>23</v>
      </c>
      <c r="N857">
        <v>41</v>
      </c>
      <c r="O857" t="s">
        <v>24</v>
      </c>
      <c r="P857" t="s">
        <v>48</v>
      </c>
      <c r="Q857" t="s">
        <v>105</v>
      </c>
      <c r="R857" s="7">
        <v>4.25</v>
      </c>
      <c r="S857" s="7">
        <v>4.25</v>
      </c>
      <c r="T857" t="s">
        <v>125</v>
      </c>
    </row>
    <row r="858" spans="1:20" x14ac:dyDescent="0.3">
      <c r="A858">
        <v>857</v>
      </c>
      <c r="B858" s="1">
        <v>44928</v>
      </c>
      <c r="C858">
        <v>2023</v>
      </c>
      <c r="D858">
        <v>1</v>
      </c>
      <c r="E858" t="s">
        <v>20</v>
      </c>
      <c r="F858">
        <v>2</v>
      </c>
      <c r="G858" t="s">
        <v>124</v>
      </c>
      <c r="H858" s="2">
        <v>46203.700613425928</v>
      </c>
      <c r="I858">
        <v>14</v>
      </c>
      <c r="J858" t="s">
        <v>120</v>
      </c>
      <c r="K858" s="8">
        <v>1</v>
      </c>
      <c r="L858">
        <v>8</v>
      </c>
      <c r="M858" t="s">
        <v>64</v>
      </c>
      <c r="N858">
        <v>32</v>
      </c>
      <c r="O858" t="s">
        <v>24</v>
      </c>
      <c r="P858" t="s">
        <v>25</v>
      </c>
      <c r="Q858" t="s">
        <v>26</v>
      </c>
      <c r="R858" s="7">
        <v>3</v>
      </c>
      <c r="S858" s="7">
        <v>3</v>
      </c>
      <c r="T858" t="s">
        <v>125</v>
      </c>
    </row>
    <row r="859" spans="1:20" x14ac:dyDescent="0.3">
      <c r="A859">
        <v>858</v>
      </c>
      <c r="B859" s="1">
        <v>44928</v>
      </c>
      <c r="C859">
        <v>2023</v>
      </c>
      <c r="D859">
        <v>1</v>
      </c>
      <c r="E859" t="s">
        <v>20</v>
      </c>
      <c r="F859">
        <v>2</v>
      </c>
      <c r="G859" t="s">
        <v>124</v>
      </c>
      <c r="H859" s="2">
        <v>46203.702210648145</v>
      </c>
      <c r="I859">
        <v>14</v>
      </c>
      <c r="J859" t="s">
        <v>120</v>
      </c>
      <c r="K859" s="8">
        <v>1</v>
      </c>
      <c r="L859">
        <v>3</v>
      </c>
      <c r="M859" t="s">
        <v>114</v>
      </c>
      <c r="N859">
        <v>36</v>
      </c>
      <c r="O859" t="s">
        <v>24</v>
      </c>
      <c r="P859" t="s">
        <v>99</v>
      </c>
      <c r="Q859" t="s">
        <v>102</v>
      </c>
      <c r="R859" s="7">
        <v>3.75</v>
      </c>
      <c r="S859" s="7">
        <v>3.75</v>
      </c>
      <c r="T859" t="s">
        <v>125</v>
      </c>
    </row>
    <row r="860" spans="1:20" x14ac:dyDescent="0.3">
      <c r="A860">
        <v>859</v>
      </c>
      <c r="B860" s="1">
        <v>44928</v>
      </c>
      <c r="C860">
        <v>2023</v>
      </c>
      <c r="D860">
        <v>1</v>
      </c>
      <c r="E860" t="s">
        <v>20</v>
      </c>
      <c r="F860">
        <v>2</v>
      </c>
      <c r="G860" t="s">
        <v>124</v>
      </c>
      <c r="H860" s="2">
        <v>46203.7030787037</v>
      </c>
      <c r="I860">
        <v>14</v>
      </c>
      <c r="J860" t="s">
        <v>120</v>
      </c>
      <c r="K860" s="8">
        <v>1</v>
      </c>
      <c r="L860">
        <v>5</v>
      </c>
      <c r="M860" t="s">
        <v>23</v>
      </c>
      <c r="N860">
        <v>46</v>
      </c>
      <c r="O860" t="s">
        <v>30</v>
      </c>
      <c r="P860" t="s">
        <v>60</v>
      </c>
      <c r="Q860" t="s">
        <v>95</v>
      </c>
      <c r="R860" s="7">
        <v>2.5</v>
      </c>
      <c r="S860" s="7">
        <v>2.5</v>
      </c>
      <c r="T860" t="s">
        <v>125</v>
      </c>
    </row>
    <row r="861" spans="1:20" x14ac:dyDescent="0.3">
      <c r="A861">
        <v>860</v>
      </c>
      <c r="B861" s="1">
        <v>44928</v>
      </c>
      <c r="C861">
        <v>2023</v>
      </c>
      <c r="D861">
        <v>1</v>
      </c>
      <c r="E861" t="s">
        <v>20</v>
      </c>
      <c r="F861">
        <v>2</v>
      </c>
      <c r="G861" t="s">
        <v>124</v>
      </c>
      <c r="H861" s="2">
        <v>46203.7030787037</v>
      </c>
      <c r="I861">
        <v>14</v>
      </c>
      <c r="J861" t="s">
        <v>120</v>
      </c>
      <c r="K861" s="8">
        <v>1</v>
      </c>
      <c r="L861">
        <v>5</v>
      </c>
      <c r="M861" t="s">
        <v>23</v>
      </c>
      <c r="N861">
        <v>76</v>
      </c>
      <c r="O861" t="s">
        <v>43</v>
      </c>
      <c r="P861" t="s">
        <v>71</v>
      </c>
      <c r="Q861" t="s">
        <v>76</v>
      </c>
      <c r="R861" s="7">
        <v>3.5</v>
      </c>
      <c r="S861" s="7">
        <v>3.5</v>
      </c>
      <c r="T861" t="s">
        <v>125</v>
      </c>
    </row>
    <row r="862" spans="1:20" x14ac:dyDescent="0.3">
      <c r="A862">
        <v>861</v>
      </c>
      <c r="B862" s="1">
        <v>44928</v>
      </c>
      <c r="C862">
        <v>2023</v>
      </c>
      <c r="D862">
        <v>1</v>
      </c>
      <c r="E862" t="s">
        <v>20</v>
      </c>
      <c r="F862">
        <v>2</v>
      </c>
      <c r="G862" t="s">
        <v>124</v>
      </c>
      <c r="H862" s="2">
        <v>46203.704548611109</v>
      </c>
      <c r="I862">
        <v>14</v>
      </c>
      <c r="J862" t="s">
        <v>120</v>
      </c>
      <c r="K862" s="8">
        <v>2</v>
      </c>
      <c r="L862">
        <v>3</v>
      </c>
      <c r="M862" t="s">
        <v>114</v>
      </c>
      <c r="N862">
        <v>37</v>
      </c>
      <c r="O862" t="s">
        <v>24</v>
      </c>
      <c r="P862" t="s">
        <v>48</v>
      </c>
      <c r="Q862" t="s">
        <v>107</v>
      </c>
      <c r="R862" s="7">
        <v>3</v>
      </c>
      <c r="S862" s="7">
        <v>6</v>
      </c>
      <c r="T862" t="s">
        <v>125</v>
      </c>
    </row>
    <row r="863" spans="1:20" x14ac:dyDescent="0.3">
      <c r="A863">
        <v>862</v>
      </c>
      <c r="B863" s="1">
        <v>44928</v>
      </c>
      <c r="C863">
        <v>2023</v>
      </c>
      <c r="D863">
        <v>1</v>
      </c>
      <c r="E863" t="s">
        <v>20</v>
      </c>
      <c r="F863">
        <v>2</v>
      </c>
      <c r="G863" t="s">
        <v>124</v>
      </c>
      <c r="H863" s="2">
        <v>46203.704629629632</v>
      </c>
      <c r="I863">
        <v>14</v>
      </c>
      <c r="J863" t="s">
        <v>120</v>
      </c>
      <c r="K863" s="8">
        <v>1</v>
      </c>
      <c r="L863">
        <v>5</v>
      </c>
      <c r="M863" t="s">
        <v>23</v>
      </c>
      <c r="N863">
        <v>87</v>
      </c>
      <c r="O863" t="s">
        <v>24</v>
      </c>
      <c r="P863" t="s">
        <v>48</v>
      </c>
      <c r="Q863" t="s">
        <v>59</v>
      </c>
      <c r="R863" s="7">
        <v>3</v>
      </c>
      <c r="S863" s="7">
        <v>3</v>
      </c>
      <c r="T863" t="s">
        <v>125</v>
      </c>
    </row>
    <row r="864" spans="1:20" x14ac:dyDescent="0.3">
      <c r="A864">
        <v>863</v>
      </c>
      <c r="B864" s="1">
        <v>44928</v>
      </c>
      <c r="C864">
        <v>2023</v>
      </c>
      <c r="D864">
        <v>1</v>
      </c>
      <c r="E864" t="s">
        <v>20</v>
      </c>
      <c r="F864">
        <v>2</v>
      </c>
      <c r="G864" t="s">
        <v>124</v>
      </c>
      <c r="H864" s="2">
        <v>46203.704699074071</v>
      </c>
      <c r="I864">
        <v>14</v>
      </c>
      <c r="J864" t="s">
        <v>120</v>
      </c>
      <c r="K864" s="8">
        <v>2</v>
      </c>
      <c r="L864">
        <v>5</v>
      </c>
      <c r="M864" t="s">
        <v>23</v>
      </c>
      <c r="N864">
        <v>52</v>
      </c>
      <c r="O864" t="s">
        <v>30</v>
      </c>
      <c r="P864" t="s">
        <v>31</v>
      </c>
      <c r="Q864" t="s">
        <v>118</v>
      </c>
      <c r="R864" s="7">
        <v>2.5</v>
      </c>
      <c r="S864" s="7">
        <v>5</v>
      </c>
      <c r="T864" t="s">
        <v>125</v>
      </c>
    </row>
    <row r="865" spans="1:20" x14ac:dyDescent="0.3">
      <c r="A865">
        <v>864</v>
      </c>
      <c r="B865" s="1">
        <v>44928</v>
      </c>
      <c r="C865">
        <v>2023</v>
      </c>
      <c r="D865">
        <v>1</v>
      </c>
      <c r="E865" t="s">
        <v>20</v>
      </c>
      <c r="F865">
        <v>2</v>
      </c>
      <c r="G865" t="s">
        <v>124</v>
      </c>
      <c r="H865" s="2">
        <v>46203.705300925925</v>
      </c>
      <c r="I865">
        <v>14</v>
      </c>
      <c r="J865" t="s">
        <v>120</v>
      </c>
      <c r="K865" s="8">
        <v>2</v>
      </c>
      <c r="L865">
        <v>8</v>
      </c>
      <c r="M865" t="s">
        <v>64</v>
      </c>
      <c r="N865">
        <v>36</v>
      </c>
      <c r="O865" t="s">
        <v>24</v>
      </c>
      <c r="P865" t="s">
        <v>99</v>
      </c>
      <c r="Q865" t="s">
        <v>102</v>
      </c>
      <c r="R865" s="7">
        <v>3.75</v>
      </c>
      <c r="S865" s="7">
        <v>7.5</v>
      </c>
      <c r="T865" t="s">
        <v>125</v>
      </c>
    </row>
    <row r="866" spans="1:20" x14ac:dyDescent="0.3">
      <c r="A866">
        <v>865</v>
      </c>
      <c r="B866" s="1">
        <v>44928</v>
      </c>
      <c r="C866">
        <v>2023</v>
      </c>
      <c r="D866">
        <v>1</v>
      </c>
      <c r="E866" t="s">
        <v>20</v>
      </c>
      <c r="F866">
        <v>2</v>
      </c>
      <c r="G866" t="s">
        <v>124</v>
      </c>
      <c r="H866" s="2">
        <v>46203.707187499997</v>
      </c>
      <c r="I866">
        <v>14</v>
      </c>
      <c r="J866" t="s">
        <v>120</v>
      </c>
      <c r="K866" s="8">
        <v>2</v>
      </c>
      <c r="L866">
        <v>8</v>
      </c>
      <c r="M866" t="s">
        <v>64</v>
      </c>
      <c r="N866">
        <v>87</v>
      </c>
      <c r="O866" t="s">
        <v>24</v>
      </c>
      <c r="P866" t="s">
        <v>48</v>
      </c>
      <c r="Q866" t="s">
        <v>59</v>
      </c>
      <c r="R866" s="7">
        <v>3</v>
      </c>
      <c r="S866" s="7">
        <v>6</v>
      </c>
      <c r="T866" t="s">
        <v>125</v>
      </c>
    </row>
    <row r="867" spans="1:20" x14ac:dyDescent="0.3">
      <c r="A867">
        <v>866</v>
      </c>
      <c r="B867" s="1">
        <v>44928</v>
      </c>
      <c r="C867">
        <v>2023</v>
      </c>
      <c r="D867">
        <v>1</v>
      </c>
      <c r="E867" t="s">
        <v>20</v>
      </c>
      <c r="F867">
        <v>2</v>
      </c>
      <c r="G867" t="s">
        <v>124</v>
      </c>
      <c r="H867" s="2">
        <v>46203.707268518519</v>
      </c>
      <c r="I867">
        <v>14</v>
      </c>
      <c r="J867" t="s">
        <v>120</v>
      </c>
      <c r="K867" s="8">
        <v>2</v>
      </c>
      <c r="L867">
        <v>8</v>
      </c>
      <c r="M867" t="s">
        <v>64</v>
      </c>
      <c r="N867">
        <v>46</v>
      </c>
      <c r="O867" t="s">
        <v>30</v>
      </c>
      <c r="P867" t="s">
        <v>60</v>
      </c>
      <c r="Q867" t="s">
        <v>95</v>
      </c>
      <c r="R867" s="7">
        <v>2.5</v>
      </c>
      <c r="S867" s="7">
        <v>5</v>
      </c>
      <c r="T867" t="s">
        <v>125</v>
      </c>
    </row>
    <row r="868" spans="1:20" x14ac:dyDescent="0.3">
      <c r="A868">
        <v>867</v>
      </c>
      <c r="B868" s="1">
        <v>44928</v>
      </c>
      <c r="C868">
        <v>2023</v>
      </c>
      <c r="D868">
        <v>1</v>
      </c>
      <c r="E868" t="s">
        <v>20</v>
      </c>
      <c r="F868">
        <v>2</v>
      </c>
      <c r="G868" t="s">
        <v>124</v>
      </c>
      <c r="H868" s="2">
        <v>46203.707731481481</v>
      </c>
      <c r="I868">
        <v>14</v>
      </c>
      <c r="J868" t="s">
        <v>120</v>
      </c>
      <c r="K868" s="8">
        <v>1</v>
      </c>
      <c r="L868">
        <v>8</v>
      </c>
      <c r="M868" t="s">
        <v>64</v>
      </c>
      <c r="N868">
        <v>30</v>
      </c>
      <c r="O868" t="s">
        <v>24</v>
      </c>
      <c r="P868" t="s">
        <v>25</v>
      </c>
      <c r="Q868" t="s">
        <v>119</v>
      </c>
      <c r="R868" s="7">
        <v>3</v>
      </c>
      <c r="S868" s="7">
        <v>3</v>
      </c>
      <c r="T868" t="s">
        <v>125</v>
      </c>
    </row>
    <row r="869" spans="1:20" x14ac:dyDescent="0.3">
      <c r="A869">
        <v>868</v>
      </c>
      <c r="B869" s="1">
        <v>44928</v>
      </c>
      <c r="C869">
        <v>2023</v>
      </c>
      <c r="D869">
        <v>1</v>
      </c>
      <c r="E869" t="s">
        <v>20</v>
      </c>
      <c r="F869">
        <v>2</v>
      </c>
      <c r="G869" t="s">
        <v>124</v>
      </c>
      <c r="H869" s="2">
        <v>46203.710555555554</v>
      </c>
      <c r="I869">
        <v>15</v>
      </c>
      <c r="J869" t="s">
        <v>120</v>
      </c>
      <c r="K869" s="8">
        <v>2</v>
      </c>
      <c r="L869">
        <v>3</v>
      </c>
      <c r="M869" t="s">
        <v>114</v>
      </c>
      <c r="N869">
        <v>26</v>
      </c>
      <c r="O869" t="s">
        <v>24</v>
      </c>
      <c r="P869" t="s">
        <v>82</v>
      </c>
      <c r="Q869" t="s">
        <v>83</v>
      </c>
      <c r="R869" s="7">
        <v>3</v>
      </c>
      <c r="S869" s="7">
        <v>6</v>
      </c>
      <c r="T869" t="s">
        <v>125</v>
      </c>
    </row>
    <row r="870" spans="1:20" x14ac:dyDescent="0.3">
      <c r="A870">
        <v>869</v>
      </c>
      <c r="B870" s="1">
        <v>44928</v>
      </c>
      <c r="C870">
        <v>2023</v>
      </c>
      <c r="D870">
        <v>1</v>
      </c>
      <c r="E870" t="s">
        <v>20</v>
      </c>
      <c r="F870">
        <v>2</v>
      </c>
      <c r="G870" t="s">
        <v>124</v>
      </c>
      <c r="H870" s="2">
        <v>46203.710555555554</v>
      </c>
      <c r="I870">
        <v>15</v>
      </c>
      <c r="J870" t="s">
        <v>120</v>
      </c>
      <c r="K870" s="8">
        <v>1</v>
      </c>
      <c r="L870">
        <v>3</v>
      </c>
      <c r="M870" t="s">
        <v>114</v>
      </c>
      <c r="N870">
        <v>73</v>
      </c>
      <c r="O870" t="s">
        <v>43</v>
      </c>
      <c r="P870" t="s">
        <v>78</v>
      </c>
      <c r="Q870" t="s">
        <v>113</v>
      </c>
      <c r="R870" s="7">
        <v>3.75</v>
      </c>
      <c r="S870" s="7">
        <v>3.75</v>
      </c>
      <c r="T870" t="s">
        <v>125</v>
      </c>
    </row>
    <row r="871" spans="1:20" x14ac:dyDescent="0.3">
      <c r="A871">
        <v>870</v>
      </c>
      <c r="B871" s="1">
        <v>44928</v>
      </c>
      <c r="C871">
        <v>2023</v>
      </c>
      <c r="D871">
        <v>1</v>
      </c>
      <c r="E871" t="s">
        <v>20</v>
      </c>
      <c r="F871">
        <v>2</v>
      </c>
      <c r="G871" t="s">
        <v>124</v>
      </c>
      <c r="H871" s="2">
        <v>46203.711354166669</v>
      </c>
      <c r="I871">
        <v>15</v>
      </c>
      <c r="J871" t="s">
        <v>120</v>
      </c>
      <c r="K871" s="8">
        <v>2</v>
      </c>
      <c r="L871">
        <v>3</v>
      </c>
      <c r="M871" t="s">
        <v>114</v>
      </c>
      <c r="N871">
        <v>23</v>
      </c>
      <c r="O871" t="s">
        <v>24</v>
      </c>
      <c r="P871" t="s">
        <v>40</v>
      </c>
      <c r="Q871" t="s">
        <v>94</v>
      </c>
      <c r="R871" s="7">
        <v>2.5</v>
      </c>
      <c r="S871" s="7">
        <v>5</v>
      </c>
      <c r="T871" t="s">
        <v>125</v>
      </c>
    </row>
    <row r="872" spans="1:20" x14ac:dyDescent="0.3">
      <c r="A872">
        <v>871</v>
      </c>
      <c r="B872" s="1">
        <v>44928</v>
      </c>
      <c r="C872">
        <v>2023</v>
      </c>
      <c r="D872">
        <v>1</v>
      </c>
      <c r="E872" t="s">
        <v>20</v>
      </c>
      <c r="F872">
        <v>2</v>
      </c>
      <c r="G872" t="s">
        <v>124</v>
      </c>
      <c r="H872" s="2">
        <v>46203.712060185186</v>
      </c>
      <c r="I872">
        <v>15</v>
      </c>
      <c r="J872" t="s">
        <v>120</v>
      </c>
      <c r="K872" s="8">
        <v>1</v>
      </c>
      <c r="L872">
        <v>3</v>
      </c>
      <c r="M872" t="s">
        <v>114</v>
      </c>
      <c r="N872">
        <v>27</v>
      </c>
      <c r="O872" t="s">
        <v>24</v>
      </c>
      <c r="P872" t="s">
        <v>82</v>
      </c>
      <c r="Q872" t="s">
        <v>84</v>
      </c>
      <c r="R872" s="7">
        <v>3.5</v>
      </c>
      <c r="S872" s="7">
        <v>3.5</v>
      </c>
      <c r="T872" t="s">
        <v>125</v>
      </c>
    </row>
    <row r="873" spans="1:20" x14ac:dyDescent="0.3">
      <c r="A873">
        <v>872</v>
      </c>
      <c r="B873" s="1">
        <v>44928</v>
      </c>
      <c r="C873">
        <v>2023</v>
      </c>
      <c r="D873">
        <v>1</v>
      </c>
      <c r="E873" t="s">
        <v>20</v>
      </c>
      <c r="F873">
        <v>2</v>
      </c>
      <c r="G873" t="s">
        <v>124</v>
      </c>
      <c r="H873" s="2">
        <v>46203.712060185186</v>
      </c>
      <c r="I873">
        <v>15</v>
      </c>
      <c r="J873" t="s">
        <v>120</v>
      </c>
      <c r="K873" s="8">
        <v>1</v>
      </c>
      <c r="L873">
        <v>3</v>
      </c>
      <c r="M873" t="s">
        <v>114</v>
      </c>
      <c r="N873">
        <v>79</v>
      </c>
      <c r="O873" t="s">
        <v>43</v>
      </c>
      <c r="P873" t="s">
        <v>44</v>
      </c>
      <c r="Q873" t="s">
        <v>62</v>
      </c>
      <c r="R873" s="7">
        <v>3.75</v>
      </c>
      <c r="S873" s="7">
        <v>3.75</v>
      </c>
      <c r="T873" t="s">
        <v>125</v>
      </c>
    </row>
    <row r="874" spans="1:20" x14ac:dyDescent="0.3">
      <c r="A874">
        <v>873</v>
      </c>
      <c r="B874" s="1">
        <v>44928</v>
      </c>
      <c r="C874">
        <v>2023</v>
      </c>
      <c r="D874">
        <v>1</v>
      </c>
      <c r="E874" t="s">
        <v>20</v>
      </c>
      <c r="F874">
        <v>2</v>
      </c>
      <c r="G874" t="s">
        <v>124</v>
      </c>
      <c r="H874" s="2">
        <v>46203.715138888889</v>
      </c>
      <c r="I874">
        <v>15</v>
      </c>
      <c r="J874" t="s">
        <v>120</v>
      </c>
      <c r="K874" s="8">
        <v>2</v>
      </c>
      <c r="L874">
        <v>5</v>
      </c>
      <c r="M874" t="s">
        <v>23</v>
      </c>
      <c r="N874">
        <v>31</v>
      </c>
      <c r="O874" t="s">
        <v>24</v>
      </c>
      <c r="P874" t="s">
        <v>25</v>
      </c>
      <c r="Q874" t="s">
        <v>116</v>
      </c>
      <c r="R874" s="7">
        <v>2.2000000000000002</v>
      </c>
      <c r="S874" s="7">
        <v>4.4000000000000004</v>
      </c>
      <c r="T874" t="s">
        <v>125</v>
      </c>
    </row>
    <row r="875" spans="1:20" x14ac:dyDescent="0.3">
      <c r="A875">
        <v>874</v>
      </c>
      <c r="B875" s="1">
        <v>44928</v>
      </c>
      <c r="C875">
        <v>2023</v>
      </c>
      <c r="D875">
        <v>1</v>
      </c>
      <c r="E875" t="s">
        <v>20</v>
      </c>
      <c r="F875">
        <v>2</v>
      </c>
      <c r="G875" t="s">
        <v>124</v>
      </c>
      <c r="H875" s="2">
        <v>46203.715833333335</v>
      </c>
      <c r="I875">
        <v>15</v>
      </c>
      <c r="J875" t="s">
        <v>120</v>
      </c>
      <c r="K875" s="8">
        <v>1</v>
      </c>
      <c r="L875">
        <v>8</v>
      </c>
      <c r="M875" t="s">
        <v>64</v>
      </c>
      <c r="N875">
        <v>44</v>
      </c>
      <c r="O875" t="s">
        <v>30</v>
      </c>
      <c r="P875" t="s">
        <v>65</v>
      </c>
      <c r="Q875" t="s">
        <v>92</v>
      </c>
      <c r="R875" s="7">
        <v>2.5</v>
      </c>
      <c r="S875" s="7">
        <v>2.5</v>
      </c>
      <c r="T875" t="s">
        <v>125</v>
      </c>
    </row>
    <row r="876" spans="1:20" x14ac:dyDescent="0.3">
      <c r="A876">
        <v>875</v>
      </c>
      <c r="B876" s="1">
        <v>44928</v>
      </c>
      <c r="C876">
        <v>2023</v>
      </c>
      <c r="D876">
        <v>1</v>
      </c>
      <c r="E876" t="s">
        <v>20</v>
      </c>
      <c r="F876">
        <v>2</v>
      </c>
      <c r="G876" t="s">
        <v>124</v>
      </c>
      <c r="H876" s="2">
        <v>46203.717175925929</v>
      </c>
      <c r="I876">
        <v>15</v>
      </c>
      <c r="J876" t="s">
        <v>120</v>
      </c>
      <c r="K876" s="8">
        <v>1</v>
      </c>
      <c r="L876">
        <v>3</v>
      </c>
      <c r="M876" t="s">
        <v>114</v>
      </c>
      <c r="N876">
        <v>52</v>
      </c>
      <c r="O876" t="s">
        <v>30</v>
      </c>
      <c r="P876" t="s">
        <v>31</v>
      </c>
      <c r="Q876" t="s">
        <v>118</v>
      </c>
      <c r="R876" s="7">
        <v>2.5</v>
      </c>
      <c r="S876" s="7">
        <v>2.5</v>
      </c>
      <c r="T876" t="s">
        <v>125</v>
      </c>
    </row>
    <row r="877" spans="1:20" x14ac:dyDescent="0.3">
      <c r="A877">
        <v>876</v>
      </c>
      <c r="B877" s="1">
        <v>44928</v>
      </c>
      <c r="C877">
        <v>2023</v>
      </c>
      <c r="D877">
        <v>1</v>
      </c>
      <c r="E877" t="s">
        <v>20</v>
      </c>
      <c r="F877">
        <v>2</v>
      </c>
      <c r="G877" t="s">
        <v>124</v>
      </c>
      <c r="H877" s="2">
        <v>46203.718784722223</v>
      </c>
      <c r="I877">
        <v>15</v>
      </c>
      <c r="J877" t="s">
        <v>120</v>
      </c>
      <c r="K877" s="8">
        <v>1</v>
      </c>
      <c r="L877">
        <v>3</v>
      </c>
      <c r="M877" t="s">
        <v>114</v>
      </c>
      <c r="N877">
        <v>40</v>
      </c>
      <c r="O877" t="s">
        <v>24</v>
      </c>
      <c r="P877" t="s">
        <v>48</v>
      </c>
      <c r="Q877" t="s">
        <v>74</v>
      </c>
      <c r="R877" s="7">
        <v>3.75</v>
      </c>
      <c r="S877" s="7">
        <v>3.75</v>
      </c>
      <c r="T877" t="s">
        <v>125</v>
      </c>
    </row>
    <row r="878" spans="1:20" x14ac:dyDescent="0.3">
      <c r="A878">
        <v>877</v>
      </c>
      <c r="B878" s="1">
        <v>44928</v>
      </c>
      <c r="C878">
        <v>2023</v>
      </c>
      <c r="D878">
        <v>1</v>
      </c>
      <c r="E878" t="s">
        <v>20</v>
      </c>
      <c r="F878">
        <v>2</v>
      </c>
      <c r="G878" t="s">
        <v>124</v>
      </c>
      <c r="H878" s="2">
        <v>46203.718784722223</v>
      </c>
      <c r="I878">
        <v>15</v>
      </c>
      <c r="J878" t="s">
        <v>120</v>
      </c>
      <c r="K878" s="8">
        <v>1</v>
      </c>
      <c r="L878">
        <v>3</v>
      </c>
      <c r="M878" t="s">
        <v>114</v>
      </c>
      <c r="N878">
        <v>77</v>
      </c>
      <c r="O878" t="s">
        <v>43</v>
      </c>
      <c r="P878" t="s">
        <v>44</v>
      </c>
      <c r="Q878" t="s">
        <v>45</v>
      </c>
      <c r="R878" s="7">
        <v>3</v>
      </c>
      <c r="S878" s="7">
        <v>3</v>
      </c>
      <c r="T878" t="s">
        <v>125</v>
      </c>
    </row>
    <row r="879" spans="1:20" x14ac:dyDescent="0.3">
      <c r="A879">
        <v>878</v>
      </c>
      <c r="B879" s="1">
        <v>44928</v>
      </c>
      <c r="C879">
        <v>2023</v>
      </c>
      <c r="D879">
        <v>1</v>
      </c>
      <c r="E879" t="s">
        <v>20</v>
      </c>
      <c r="F879">
        <v>2</v>
      </c>
      <c r="G879" t="s">
        <v>124</v>
      </c>
      <c r="H879" s="2">
        <v>46203.721307870372</v>
      </c>
      <c r="I879">
        <v>15</v>
      </c>
      <c r="J879" t="s">
        <v>120</v>
      </c>
      <c r="K879" s="8">
        <v>1</v>
      </c>
      <c r="L879">
        <v>5</v>
      </c>
      <c r="M879" t="s">
        <v>23</v>
      </c>
      <c r="N879">
        <v>59</v>
      </c>
      <c r="O879" t="s">
        <v>35</v>
      </c>
      <c r="P879" t="s">
        <v>36</v>
      </c>
      <c r="Q879" t="s">
        <v>37</v>
      </c>
      <c r="R879" s="7">
        <v>4.5</v>
      </c>
      <c r="S879" s="7">
        <v>4.5</v>
      </c>
      <c r="T879" t="s">
        <v>125</v>
      </c>
    </row>
    <row r="880" spans="1:20" x14ac:dyDescent="0.3">
      <c r="A880">
        <v>879</v>
      </c>
      <c r="B880" s="1">
        <v>44928</v>
      </c>
      <c r="C880">
        <v>2023</v>
      </c>
      <c r="D880">
        <v>1</v>
      </c>
      <c r="E880" t="s">
        <v>20</v>
      </c>
      <c r="F880">
        <v>2</v>
      </c>
      <c r="G880" t="s">
        <v>124</v>
      </c>
      <c r="H880" s="2">
        <v>46203.722060185188</v>
      </c>
      <c r="I880">
        <v>15</v>
      </c>
      <c r="J880" t="s">
        <v>120</v>
      </c>
      <c r="K880" s="8">
        <v>1</v>
      </c>
      <c r="L880">
        <v>3</v>
      </c>
      <c r="M880" t="s">
        <v>114</v>
      </c>
      <c r="N880">
        <v>53</v>
      </c>
      <c r="O880" t="s">
        <v>30</v>
      </c>
      <c r="P880" t="s">
        <v>31</v>
      </c>
      <c r="Q880" t="s">
        <v>104</v>
      </c>
      <c r="R880" s="7">
        <v>3</v>
      </c>
      <c r="S880" s="7">
        <v>3</v>
      </c>
      <c r="T880" t="s">
        <v>125</v>
      </c>
    </row>
    <row r="881" spans="1:20" x14ac:dyDescent="0.3">
      <c r="A881">
        <v>880</v>
      </c>
      <c r="B881" s="1">
        <v>44928</v>
      </c>
      <c r="C881">
        <v>2023</v>
      </c>
      <c r="D881">
        <v>1</v>
      </c>
      <c r="E881" t="s">
        <v>20</v>
      </c>
      <c r="F881">
        <v>2</v>
      </c>
      <c r="G881" t="s">
        <v>124</v>
      </c>
      <c r="H881" s="2">
        <v>46203.723437499997</v>
      </c>
      <c r="I881">
        <v>15</v>
      </c>
      <c r="J881" t="s">
        <v>120</v>
      </c>
      <c r="K881" s="8">
        <v>2</v>
      </c>
      <c r="L881">
        <v>3</v>
      </c>
      <c r="M881" t="s">
        <v>114</v>
      </c>
      <c r="N881">
        <v>47</v>
      </c>
      <c r="O881" t="s">
        <v>30</v>
      </c>
      <c r="P881" t="s">
        <v>60</v>
      </c>
      <c r="Q881" t="s">
        <v>61</v>
      </c>
      <c r="R881" s="7">
        <v>3</v>
      </c>
      <c r="S881" s="7">
        <v>6</v>
      </c>
      <c r="T881" t="s">
        <v>125</v>
      </c>
    </row>
    <row r="882" spans="1:20" x14ac:dyDescent="0.3">
      <c r="A882">
        <v>881</v>
      </c>
      <c r="B882" s="1">
        <v>44928</v>
      </c>
      <c r="C882">
        <v>2023</v>
      </c>
      <c r="D882">
        <v>1</v>
      </c>
      <c r="E882" t="s">
        <v>20</v>
      </c>
      <c r="F882">
        <v>2</v>
      </c>
      <c r="G882" t="s">
        <v>124</v>
      </c>
      <c r="H882" s="2">
        <v>46203.72383101852</v>
      </c>
      <c r="I882">
        <v>15</v>
      </c>
      <c r="J882" t="s">
        <v>120</v>
      </c>
      <c r="K882" s="8">
        <v>2</v>
      </c>
      <c r="L882">
        <v>8</v>
      </c>
      <c r="M882" t="s">
        <v>64</v>
      </c>
      <c r="N882">
        <v>28</v>
      </c>
      <c r="O882" t="s">
        <v>24</v>
      </c>
      <c r="P882" t="s">
        <v>25</v>
      </c>
      <c r="Q882" t="s">
        <v>46</v>
      </c>
      <c r="R882" s="7">
        <v>2</v>
      </c>
      <c r="S882" s="7">
        <v>4</v>
      </c>
      <c r="T882" t="s">
        <v>125</v>
      </c>
    </row>
    <row r="883" spans="1:20" x14ac:dyDescent="0.3">
      <c r="A883">
        <v>882</v>
      </c>
      <c r="B883" s="1">
        <v>44928</v>
      </c>
      <c r="C883">
        <v>2023</v>
      </c>
      <c r="D883">
        <v>1</v>
      </c>
      <c r="E883" t="s">
        <v>20</v>
      </c>
      <c r="F883">
        <v>2</v>
      </c>
      <c r="G883" t="s">
        <v>124</v>
      </c>
      <c r="H883" s="2">
        <v>46203.724641203706</v>
      </c>
      <c r="I883">
        <v>15</v>
      </c>
      <c r="J883" t="s">
        <v>120</v>
      </c>
      <c r="K883" s="8">
        <v>2</v>
      </c>
      <c r="L883">
        <v>8</v>
      </c>
      <c r="M883" t="s">
        <v>64</v>
      </c>
      <c r="N883">
        <v>45</v>
      </c>
      <c r="O883" t="s">
        <v>30</v>
      </c>
      <c r="P883" t="s">
        <v>65</v>
      </c>
      <c r="Q883" t="s">
        <v>77</v>
      </c>
      <c r="R883" s="7">
        <v>3</v>
      </c>
      <c r="S883" s="7">
        <v>6</v>
      </c>
      <c r="T883" t="s">
        <v>125</v>
      </c>
    </row>
    <row r="884" spans="1:20" x14ac:dyDescent="0.3">
      <c r="A884">
        <v>883</v>
      </c>
      <c r="B884" s="1">
        <v>44928</v>
      </c>
      <c r="C884">
        <v>2023</v>
      </c>
      <c r="D884">
        <v>1</v>
      </c>
      <c r="E884" t="s">
        <v>20</v>
      </c>
      <c r="F884">
        <v>2</v>
      </c>
      <c r="G884" t="s">
        <v>124</v>
      </c>
      <c r="H884" s="2">
        <v>46203.725185185183</v>
      </c>
      <c r="I884">
        <v>15</v>
      </c>
      <c r="J884" t="s">
        <v>120</v>
      </c>
      <c r="K884" s="8">
        <v>1</v>
      </c>
      <c r="L884">
        <v>3</v>
      </c>
      <c r="M884" t="s">
        <v>114</v>
      </c>
      <c r="N884">
        <v>60</v>
      </c>
      <c r="O884" t="s">
        <v>35</v>
      </c>
      <c r="P884" t="s">
        <v>36</v>
      </c>
      <c r="Q884" t="s">
        <v>90</v>
      </c>
      <c r="R884" s="7">
        <v>3.75</v>
      </c>
      <c r="S884" s="7">
        <v>3.75</v>
      </c>
      <c r="T884" t="s">
        <v>125</v>
      </c>
    </row>
    <row r="885" spans="1:20" x14ac:dyDescent="0.3">
      <c r="A885">
        <v>884</v>
      </c>
      <c r="B885" s="1">
        <v>44928</v>
      </c>
      <c r="C885">
        <v>2023</v>
      </c>
      <c r="D885">
        <v>1</v>
      </c>
      <c r="E885" t="s">
        <v>20</v>
      </c>
      <c r="F885">
        <v>2</v>
      </c>
      <c r="G885" t="s">
        <v>124</v>
      </c>
      <c r="H885" s="2">
        <v>46203.725601851853</v>
      </c>
      <c r="I885">
        <v>15</v>
      </c>
      <c r="J885" t="s">
        <v>120</v>
      </c>
      <c r="K885" s="8">
        <v>2</v>
      </c>
      <c r="L885">
        <v>5</v>
      </c>
      <c r="M885" t="s">
        <v>23</v>
      </c>
      <c r="N885">
        <v>48</v>
      </c>
      <c r="O885" t="s">
        <v>30</v>
      </c>
      <c r="P885" t="s">
        <v>57</v>
      </c>
      <c r="Q885" t="s">
        <v>93</v>
      </c>
      <c r="R885" s="7">
        <v>2.5</v>
      </c>
      <c r="S885" s="7">
        <v>5</v>
      </c>
      <c r="T885" t="s">
        <v>125</v>
      </c>
    </row>
    <row r="886" spans="1:20" x14ac:dyDescent="0.3">
      <c r="A886">
        <v>885</v>
      </c>
      <c r="B886" s="1">
        <v>44928</v>
      </c>
      <c r="C886">
        <v>2023</v>
      </c>
      <c r="D886">
        <v>1</v>
      </c>
      <c r="E886" t="s">
        <v>20</v>
      </c>
      <c r="F886">
        <v>2</v>
      </c>
      <c r="G886" t="s">
        <v>124</v>
      </c>
      <c r="H886" s="2">
        <v>46203.726481481484</v>
      </c>
      <c r="I886">
        <v>15</v>
      </c>
      <c r="J886" t="s">
        <v>120</v>
      </c>
      <c r="K886" s="8">
        <v>1</v>
      </c>
      <c r="L886">
        <v>3</v>
      </c>
      <c r="M886" t="s">
        <v>114</v>
      </c>
      <c r="N886">
        <v>50</v>
      </c>
      <c r="O886" t="s">
        <v>30</v>
      </c>
      <c r="P886" t="s">
        <v>57</v>
      </c>
      <c r="Q886" t="s">
        <v>108</v>
      </c>
      <c r="R886" s="7">
        <v>2.5</v>
      </c>
      <c r="S886" s="7">
        <v>2.5</v>
      </c>
      <c r="T886" t="s">
        <v>125</v>
      </c>
    </row>
    <row r="887" spans="1:20" x14ac:dyDescent="0.3">
      <c r="A887">
        <v>886</v>
      </c>
      <c r="B887" s="1">
        <v>44928</v>
      </c>
      <c r="C887">
        <v>2023</v>
      </c>
      <c r="D887">
        <v>1</v>
      </c>
      <c r="E887" t="s">
        <v>20</v>
      </c>
      <c r="F887">
        <v>2</v>
      </c>
      <c r="G887" t="s">
        <v>124</v>
      </c>
      <c r="H887" s="2">
        <v>46203.726643518516</v>
      </c>
      <c r="I887">
        <v>15</v>
      </c>
      <c r="J887" t="s">
        <v>120</v>
      </c>
      <c r="K887" s="8">
        <v>2</v>
      </c>
      <c r="L887">
        <v>5</v>
      </c>
      <c r="M887" t="s">
        <v>23</v>
      </c>
      <c r="N887">
        <v>42</v>
      </c>
      <c r="O887" t="s">
        <v>30</v>
      </c>
      <c r="P887" t="s">
        <v>65</v>
      </c>
      <c r="Q887" t="s">
        <v>66</v>
      </c>
      <c r="R887" s="7">
        <v>2.5</v>
      </c>
      <c r="S887" s="7">
        <v>5</v>
      </c>
      <c r="T887" t="s">
        <v>125</v>
      </c>
    </row>
    <row r="888" spans="1:20" x14ac:dyDescent="0.3">
      <c r="A888">
        <v>887</v>
      </c>
      <c r="B888" s="1">
        <v>44928</v>
      </c>
      <c r="C888">
        <v>2023</v>
      </c>
      <c r="D888">
        <v>1</v>
      </c>
      <c r="E888" t="s">
        <v>20</v>
      </c>
      <c r="F888">
        <v>2</v>
      </c>
      <c r="G888" t="s">
        <v>124</v>
      </c>
      <c r="H888" s="2">
        <v>46203.726643518516</v>
      </c>
      <c r="I888">
        <v>15</v>
      </c>
      <c r="J888" t="s">
        <v>120</v>
      </c>
      <c r="K888" s="8">
        <v>1</v>
      </c>
      <c r="L888">
        <v>5</v>
      </c>
      <c r="M888" t="s">
        <v>23</v>
      </c>
      <c r="N888">
        <v>69</v>
      </c>
      <c r="O888" t="s">
        <v>43</v>
      </c>
      <c r="P888" t="s">
        <v>71</v>
      </c>
      <c r="Q888" t="s">
        <v>72</v>
      </c>
      <c r="R888" s="7">
        <v>3.25</v>
      </c>
      <c r="S888" s="7">
        <v>3.25</v>
      </c>
      <c r="T888" t="s">
        <v>125</v>
      </c>
    </row>
    <row r="889" spans="1:20" x14ac:dyDescent="0.3">
      <c r="A889">
        <v>888</v>
      </c>
      <c r="B889" s="1">
        <v>44928</v>
      </c>
      <c r="C889">
        <v>2023</v>
      </c>
      <c r="D889">
        <v>1</v>
      </c>
      <c r="E889" t="s">
        <v>20</v>
      </c>
      <c r="F889">
        <v>2</v>
      </c>
      <c r="G889" t="s">
        <v>124</v>
      </c>
      <c r="H889" s="2">
        <v>46203.727581018517</v>
      </c>
      <c r="I889">
        <v>15</v>
      </c>
      <c r="J889" t="s">
        <v>120</v>
      </c>
      <c r="K889" s="8">
        <v>1</v>
      </c>
      <c r="L889">
        <v>3</v>
      </c>
      <c r="M889" t="s">
        <v>114</v>
      </c>
      <c r="N889">
        <v>58</v>
      </c>
      <c r="O889" t="s">
        <v>35</v>
      </c>
      <c r="P889" t="s">
        <v>36</v>
      </c>
      <c r="Q889" t="s">
        <v>51</v>
      </c>
      <c r="R889" s="7">
        <v>3.5</v>
      </c>
      <c r="S889" s="7">
        <v>3.5</v>
      </c>
      <c r="T889" t="s">
        <v>125</v>
      </c>
    </row>
    <row r="890" spans="1:20" x14ac:dyDescent="0.3">
      <c r="A890">
        <v>889</v>
      </c>
      <c r="B890" s="1">
        <v>44928</v>
      </c>
      <c r="C890">
        <v>2023</v>
      </c>
      <c r="D890">
        <v>1</v>
      </c>
      <c r="E890" t="s">
        <v>20</v>
      </c>
      <c r="F890">
        <v>2</v>
      </c>
      <c r="G890" t="s">
        <v>124</v>
      </c>
      <c r="H890" s="2">
        <v>46203.727638888886</v>
      </c>
      <c r="I890">
        <v>15</v>
      </c>
      <c r="J890" t="s">
        <v>120</v>
      </c>
      <c r="K890" s="8">
        <v>1</v>
      </c>
      <c r="L890">
        <v>3</v>
      </c>
      <c r="M890" t="s">
        <v>114</v>
      </c>
      <c r="N890">
        <v>41</v>
      </c>
      <c r="O890" t="s">
        <v>24</v>
      </c>
      <c r="P890" t="s">
        <v>48</v>
      </c>
      <c r="Q890" t="s">
        <v>105</v>
      </c>
      <c r="R890" s="7">
        <v>4.25</v>
      </c>
      <c r="S890" s="7">
        <v>4.25</v>
      </c>
      <c r="T890" t="s">
        <v>125</v>
      </c>
    </row>
    <row r="891" spans="1:20" x14ac:dyDescent="0.3">
      <c r="A891">
        <v>890</v>
      </c>
      <c r="B891" s="1">
        <v>44928</v>
      </c>
      <c r="C891">
        <v>2023</v>
      </c>
      <c r="D891">
        <v>1</v>
      </c>
      <c r="E891" t="s">
        <v>20</v>
      </c>
      <c r="F891">
        <v>2</v>
      </c>
      <c r="G891" t="s">
        <v>124</v>
      </c>
      <c r="H891" s="2">
        <v>46203.728182870371</v>
      </c>
      <c r="I891">
        <v>15</v>
      </c>
      <c r="J891" t="s">
        <v>120</v>
      </c>
      <c r="K891" s="8">
        <v>2</v>
      </c>
      <c r="L891">
        <v>5</v>
      </c>
      <c r="M891" t="s">
        <v>23</v>
      </c>
      <c r="N891">
        <v>87</v>
      </c>
      <c r="O891" t="s">
        <v>24</v>
      </c>
      <c r="P891" t="s">
        <v>48</v>
      </c>
      <c r="Q891" t="s">
        <v>59</v>
      </c>
      <c r="R891" s="7">
        <v>3</v>
      </c>
      <c r="S891" s="7">
        <v>6</v>
      </c>
      <c r="T891" t="s">
        <v>125</v>
      </c>
    </row>
    <row r="892" spans="1:20" x14ac:dyDescent="0.3">
      <c r="A892">
        <v>891</v>
      </c>
      <c r="B892" s="1">
        <v>44928</v>
      </c>
      <c r="C892">
        <v>2023</v>
      </c>
      <c r="D892">
        <v>1</v>
      </c>
      <c r="E892" t="s">
        <v>20</v>
      </c>
      <c r="F892">
        <v>2</v>
      </c>
      <c r="G892" t="s">
        <v>124</v>
      </c>
      <c r="H892" s="2">
        <v>46203.728831018518</v>
      </c>
      <c r="I892">
        <v>15</v>
      </c>
      <c r="J892" t="s">
        <v>120</v>
      </c>
      <c r="K892" s="8">
        <v>2</v>
      </c>
      <c r="L892">
        <v>5</v>
      </c>
      <c r="M892" t="s">
        <v>23</v>
      </c>
      <c r="N892">
        <v>44</v>
      </c>
      <c r="O892" t="s">
        <v>30</v>
      </c>
      <c r="P892" t="s">
        <v>65</v>
      </c>
      <c r="Q892" t="s">
        <v>92</v>
      </c>
      <c r="R892" s="7">
        <v>2.5</v>
      </c>
      <c r="S892" s="7">
        <v>5</v>
      </c>
      <c r="T892" t="s">
        <v>125</v>
      </c>
    </row>
    <row r="893" spans="1:20" x14ac:dyDescent="0.3">
      <c r="A893">
        <v>892</v>
      </c>
      <c r="B893" s="1">
        <v>44928</v>
      </c>
      <c r="C893">
        <v>2023</v>
      </c>
      <c r="D893">
        <v>1</v>
      </c>
      <c r="E893" t="s">
        <v>20</v>
      </c>
      <c r="F893">
        <v>2</v>
      </c>
      <c r="G893" t="s">
        <v>124</v>
      </c>
      <c r="H893" s="2">
        <v>46203.729756944442</v>
      </c>
      <c r="I893">
        <v>15</v>
      </c>
      <c r="J893" t="s">
        <v>120</v>
      </c>
      <c r="K893" s="8">
        <v>1</v>
      </c>
      <c r="L893">
        <v>8</v>
      </c>
      <c r="M893" t="s">
        <v>64</v>
      </c>
      <c r="N893">
        <v>40</v>
      </c>
      <c r="O893" t="s">
        <v>24</v>
      </c>
      <c r="P893" t="s">
        <v>48</v>
      </c>
      <c r="Q893" t="s">
        <v>74</v>
      </c>
      <c r="R893" s="7">
        <v>3.75</v>
      </c>
      <c r="S893" s="7">
        <v>3.75</v>
      </c>
      <c r="T893" t="s">
        <v>125</v>
      </c>
    </row>
    <row r="894" spans="1:20" x14ac:dyDescent="0.3">
      <c r="A894">
        <v>893</v>
      </c>
      <c r="B894" s="1">
        <v>44928</v>
      </c>
      <c r="C894">
        <v>2023</v>
      </c>
      <c r="D894">
        <v>1</v>
      </c>
      <c r="E894" t="s">
        <v>20</v>
      </c>
      <c r="F894">
        <v>2</v>
      </c>
      <c r="G894" t="s">
        <v>124</v>
      </c>
      <c r="H894" s="2">
        <v>46203.731064814812</v>
      </c>
      <c r="I894">
        <v>15</v>
      </c>
      <c r="J894" t="s">
        <v>120</v>
      </c>
      <c r="K894" s="8">
        <v>2</v>
      </c>
      <c r="L894">
        <v>8</v>
      </c>
      <c r="M894" t="s">
        <v>64</v>
      </c>
      <c r="N894">
        <v>45</v>
      </c>
      <c r="O894" t="s">
        <v>30</v>
      </c>
      <c r="P894" t="s">
        <v>65</v>
      </c>
      <c r="Q894" t="s">
        <v>77</v>
      </c>
      <c r="R894" s="7">
        <v>3</v>
      </c>
      <c r="S894" s="7">
        <v>6</v>
      </c>
      <c r="T894" t="s">
        <v>125</v>
      </c>
    </row>
    <row r="895" spans="1:20" x14ac:dyDescent="0.3">
      <c r="A895">
        <v>894</v>
      </c>
      <c r="B895" s="1">
        <v>44928</v>
      </c>
      <c r="C895">
        <v>2023</v>
      </c>
      <c r="D895">
        <v>1</v>
      </c>
      <c r="E895" t="s">
        <v>20</v>
      </c>
      <c r="F895">
        <v>2</v>
      </c>
      <c r="G895" t="s">
        <v>124</v>
      </c>
      <c r="H895" s="2">
        <v>46203.732453703706</v>
      </c>
      <c r="I895">
        <v>15</v>
      </c>
      <c r="J895" t="s">
        <v>120</v>
      </c>
      <c r="K895" s="8">
        <v>2</v>
      </c>
      <c r="L895">
        <v>5</v>
      </c>
      <c r="M895" t="s">
        <v>23</v>
      </c>
      <c r="N895">
        <v>34</v>
      </c>
      <c r="O895" t="s">
        <v>24</v>
      </c>
      <c r="P895" t="s">
        <v>99</v>
      </c>
      <c r="Q895" t="s">
        <v>100</v>
      </c>
      <c r="R895" s="7">
        <v>2.4500000000000002</v>
      </c>
      <c r="S895" s="7">
        <v>4.9000000000000004</v>
      </c>
      <c r="T895" t="s">
        <v>125</v>
      </c>
    </row>
    <row r="896" spans="1:20" x14ac:dyDescent="0.3">
      <c r="A896">
        <v>895</v>
      </c>
      <c r="B896" s="1">
        <v>44928</v>
      </c>
      <c r="C896">
        <v>2023</v>
      </c>
      <c r="D896">
        <v>1</v>
      </c>
      <c r="E896" t="s">
        <v>20</v>
      </c>
      <c r="F896">
        <v>2</v>
      </c>
      <c r="G896" t="s">
        <v>124</v>
      </c>
      <c r="H896" s="2">
        <v>46203.732893518521</v>
      </c>
      <c r="I896">
        <v>15</v>
      </c>
      <c r="J896" t="s">
        <v>120</v>
      </c>
      <c r="K896" s="8">
        <v>1</v>
      </c>
      <c r="L896">
        <v>8</v>
      </c>
      <c r="M896" t="s">
        <v>64</v>
      </c>
      <c r="N896">
        <v>53</v>
      </c>
      <c r="O896" t="s">
        <v>30</v>
      </c>
      <c r="P896" t="s">
        <v>31</v>
      </c>
      <c r="Q896" t="s">
        <v>104</v>
      </c>
      <c r="R896" s="7">
        <v>3</v>
      </c>
      <c r="S896" s="7">
        <v>3</v>
      </c>
      <c r="T896" t="s">
        <v>125</v>
      </c>
    </row>
    <row r="897" spans="1:20" x14ac:dyDescent="0.3">
      <c r="A897">
        <v>896</v>
      </c>
      <c r="B897" s="1">
        <v>44928</v>
      </c>
      <c r="C897">
        <v>2023</v>
      </c>
      <c r="D897">
        <v>1</v>
      </c>
      <c r="E897" t="s">
        <v>20</v>
      </c>
      <c r="F897">
        <v>2</v>
      </c>
      <c r="G897" t="s">
        <v>124</v>
      </c>
      <c r="H897" s="2">
        <v>46203.732893518521</v>
      </c>
      <c r="I897">
        <v>15</v>
      </c>
      <c r="J897" t="s">
        <v>120</v>
      </c>
      <c r="K897" s="8">
        <v>1</v>
      </c>
      <c r="L897">
        <v>8</v>
      </c>
      <c r="M897" t="s">
        <v>64</v>
      </c>
      <c r="N897">
        <v>69</v>
      </c>
      <c r="O897" t="s">
        <v>43</v>
      </c>
      <c r="P897" t="s">
        <v>71</v>
      </c>
      <c r="Q897" t="s">
        <v>72</v>
      </c>
      <c r="R897" s="7">
        <v>3.25</v>
      </c>
      <c r="S897" s="7">
        <v>3.25</v>
      </c>
      <c r="T897" t="s">
        <v>125</v>
      </c>
    </row>
    <row r="898" spans="1:20" x14ac:dyDescent="0.3">
      <c r="A898">
        <v>897</v>
      </c>
      <c r="B898" s="1">
        <v>44928</v>
      </c>
      <c r="C898">
        <v>2023</v>
      </c>
      <c r="D898">
        <v>1</v>
      </c>
      <c r="E898" t="s">
        <v>20</v>
      </c>
      <c r="F898">
        <v>2</v>
      </c>
      <c r="G898" t="s">
        <v>124</v>
      </c>
      <c r="H898" s="2">
        <v>46203.732986111114</v>
      </c>
      <c r="I898">
        <v>15</v>
      </c>
      <c r="J898" t="s">
        <v>120</v>
      </c>
      <c r="K898" s="8">
        <v>2</v>
      </c>
      <c r="L898">
        <v>5</v>
      </c>
      <c r="M898" t="s">
        <v>23</v>
      </c>
      <c r="N898">
        <v>60</v>
      </c>
      <c r="O898" t="s">
        <v>35</v>
      </c>
      <c r="P898" t="s">
        <v>36</v>
      </c>
      <c r="Q898" t="s">
        <v>90</v>
      </c>
      <c r="R898" s="7">
        <v>3.75</v>
      </c>
      <c r="S898" s="7">
        <v>7.5</v>
      </c>
      <c r="T898" t="s">
        <v>125</v>
      </c>
    </row>
    <row r="899" spans="1:20" x14ac:dyDescent="0.3">
      <c r="A899">
        <v>898</v>
      </c>
      <c r="B899" s="1">
        <v>44928</v>
      </c>
      <c r="C899">
        <v>2023</v>
      </c>
      <c r="D899">
        <v>1</v>
      </c>
      <c r="E899" t="s">
        <v>20</v>
      </c>
      <c r="F899">
        <v>2</v>
      </c>
      <c r="G899" t="s">
        <v>124</v>
      </c>
      <c r="H899" s="2">
        <v>46203.732986111114</v>
      </c>
      <c r="I899">
        <v>15</v>
      </c>
      <c r="J899" t="s">
        <v>120</v>
      </c>
      <c r="K899" s="8">
        <v>1</v>
      </c>
      <c r="L899">
        <v>5</v>
      </c>
      <c r="M899" t="s">
        <v>23</v>
      </c>
      <c r="N899">
        <v>70</v>
      </c>
      <c r="O899" t="s">
        <v>43</v>
      </c>
      <c r="P899" t="s">
        <v>44</v>
      </c>
      <c r="Q899" t="s">
        <v>111</v>
      </c>
      <c r="R899" s="7">
        <v>3.25</v>
      </c>
      <c r="S899" s="7">
        <v>3.25</v>
      </c>
      <c r="T899" t="s">
        <v>125</v>
      </c>
    </row>
    <row r="900" spans="1:20" x14ac:dyDescent="0.3">
      <c r="A900">
        <v>899</v>
      </c>
      <c r="B900" s="1">
        <v>44928</v>
      </c>
      <c r="C900">
        <v>2023</v>
      </c>
      <c r="D900">
        <v>1</v>
      </c>
      <c r="E900" t="s">
        <v>20</v>
      </c>
      <c r="F900">
        <v>2</v>
      </c>
      <c r="G900" t="s">
        <v>124</v>
      </c>
      <c r="H900" s="2">
        <v>46203.733668981484</v>
      </c>
      <c r="I900">
        <v>15</v>
      </c>
      <c r="J900" t="s">
        <v>120</v>
      </c>
      <c r="K900" s="8">
        <v>2</v>
      </c>
      <c r="L900">
        <v>8</v>
      </c>
      <c r="M900" t="s">
        <v>64</v>
      </c>
      <c r="N900">
        <v>46</v>
      </c>
      <c r="O900" t="s">
        <v>30</v>
      </c>
      <c r="P900" t="s">
        <v>60</v>
      </c>
      <c r="Q900" t="s">
        <v>95</v>
      </c>
      <c r="R900" s="7">
        <v>2.5</v>
      </c>
      <c r="S900" s="7">
        <v>5</v>
      </c>
      <c r="T900" t="s">
        <v>125</v>
      </c>
    </row>
    <row r="901" spans="1:20" x14ac:dyDescent="0.3">
      <c r="A901">
        <v>900</v>
      </c>
      <c r="B901" s="1">
        <v>44928</v>
      </c>
      <c r="C901">
        <v>2023</v>
      </c>
      <c r="D901">
        <v>1</v>
      </c>
      <c r="E901" t="s">
        <v>20</v>
      </c>
      <c r="F901">
        <v>2</v>
      </c>
      <c r="G901" t="s">
        <v>124</v>
      </c>
      <c r="H901" s="2">
        <v>46203.733877314815</v>
      </c>
      <c r="I901">
        <v>15</v>
      </c>
      <c r="J901" t="s">
        <v>120</v>
      </c>
      <c r="K901" s="8">
        <v>2</v>
      </c>
      <c r="L901">
        <v>3</v>
      </c>
      <c r="M901" t="s">
        <v>114</v>
      </c>
      <c r="N901">
        <v>23</v>
      </c>
      <c r="O901" t="s">
        <v>24</v>
      </c>
      <c r="P901" t="s">
        <v>40</v>
      </c>
      <c r="Q901" t="s">
        <v>94</v>
      </c>
      <c r="R901" s="7">
        <v>2.5</v>
      </c>
      <c r="S901" s="7">
        <v>5</v>
      </c>
      <c r="T901" t="s">
        <v>125</v>
      </c>
    </row>
    <row r="902" spans="1:20" x14ac:dyDescent="0.3">
      <c r="A902">
        <v>901</v>
      </c>
      <c r="B902" s="1">
        <v>44928</v>
      </c>
      <c r="C902">
        <v>2023</v>
      </c>
      <c r="D902">
        <v>1</v>
      </c>
      <c r="E902" t="s">
        <v>20</v>
      </c>
      <c r="F902">
        <v>2</v>
      </c>
      <c r="G902" t="s">
        <v>124</v>
      </c>
      <c r="H902" s="2">
        <v>46203.734259259261</v>
      </c>
      <c r="I902">
        <v>15</v>
      </c>
      <c r="J902" t="s">
        <v>120</v>
      </c>
      <c r="K902" s="8">
        <v>2</v>
      </c>
      <c r="L902">
        <v>8</v>
      </c>
      <c r="M902" t="s">
        <v>64</v>
      </c>
      <c r="N902">
        <v>33</v>
      </c>
      <c r="O902" t="s">
        <v>24</v>
      </c>
      <c r="P902" t="s">
        <v>25</v>
      </c>
      <c r="Q902" t="s">
        <v>56</v>
      </c>
      <c r="R902" s="7">
        <v>3.5</v>
      </c>
      <c r="S902" s="7">
        <v>7</v>
      </c>
      <c r="T902" t="s">
        <v>125</v>
      </c>
    </row>
    <row r="903" spans="1:20" x14ac:dyDescent="0.3">
      <c r="A903">
        <v>902</v>
      </c>
      <c r="B903" s="1">
        <v>44928</v>
      </c>
      <c r="C903">
        <v>2023</v>
      </c>
      <c r="D903">
        <v>1</v>
      </c>
      <c r="E903" t="s">
        <v>20</v>
      </c>
      <c r="F903">
        <v>2</v>
      </c>
      <c r="G903" t="s">
        <v>124</v>
      </c>
      <c r="H903" s="2">
        <v>46203.734259259261</v>
      </c>
      <c r="I903">
        <v>15</v>
      </c>
      <c r="J903" t="s">
        <v>120</v>
      </c>
      <c r="K903" s="8">
        <v>1</v>
      </c>
      <c r="L903">
        <v>8</v>
      </c>
      <c r="M903" t="s">
        <v>64</v>
      </c>
      <c r="N903">
        <v>69</v>
      </c>
      <c r="O903" t="s">
        <v>43</v>
      </c>
      <c r="P903" t="s">
        <v>71</v>
      </c>
      <c r="Q903" t="s">
        <v>72</v>
      </c>
      <c r="R903" s="7">
        <v>3.25</v>
      </c>
      <c r="S903" s="7">
        <v>3.25</v>
      </c>
      <c r="T903" t="s">
        <v>125</v>
      </c>
    </row>
    <row r="904" spans="1:20" x14ac:dyDescent="0.3">
      <c r="A904">
        <v>903</v>
      </c>
      <c r="B904" s="1">
        <v>44928</v>
      </c>
      <c r="C904">
        <v>2023</v>
      </c>
      <c r="D904">
        <v>1</v>
      </c>
      <c r="E904" t="s">
        <v>20</v>
      </c>
      <c r="F904">
        <v>2</v>
      </c>
      <c r="G904" t="s">
        <v>124</v>
      </c>
      <c r="H904" s="2">
        <v>46203.735231481478</v>
      </c>
      <c r="I904">
        <v>15</v>
      </c>
      <c r="J904" t="s">
        <v>120</v>
      </c>
      <c r="K904" s="8">
        <v>2</v>
      </c>
      <c r="L904">
        <v>5</v>
      </c>
      <c r="M904" t="s">
        <v>23</v>
      </c>
      <c r="N904">
        <v>47</v>
      </c>
      <c r="O904" t="s">
        <v>30</v>
      </c>
      <c r="P904" t="s">
        <v>60</v>
      </c>
      <c r="Q904" t="s">
        <v>61</v>
      </c>
      <c r="R904" s="7">
        <v>3</v>
      </c>
      <c r="S904" s="7">
        <v>6</v>
      </c>
      <c r="T904" t="s">
        <v>125</v>
      </c>
    </row>
    <row r="905" spans="1:20" x14ac:dyDescent="0.3">
      <c r="A905">
        <v>904</v>
      </c>
      <c r="B905" s="1">
        <v>44928</v>
      </c>
      <c r="C905">
        <v>2023</v>
      </c>
      <c r="D905">
        <v>1</v>
      </c>
      <c r="E905" t="s">
        <v>20</v>
      </c>
      <c r="F905">
        <v>2</v>
      </c>
      <c r="G905" t="s">
        <v>124</v>
      </c>
      <c r="H905" s="2">
        <v>46203.736909722225</v>
      </c>
      <c r="I905">
        <v>15</v>
      </c>
      <c r="J905" t="s">
        <v>120</v>
      </c>
      <c r="K905" s="8">
        <v>1</v>
      </c>
      <c r="L905">
        <v>8</v>
      </c>
      <c r="M905" t="s">
        <v>64</v>
      </c>
      <c r="N905">
        <v>52</v>
      </c>
      <c r="O905" t="s">
        <v>30</v>
      </c>
      <c r="P905" t="s">
        <v>31</v>
      </c>
      <c r="Q905" t="s">
        <v>118</v>
      </c>
      <c r="R905" s="7">
        <v>2.5</v>
      </c>
      <c r="S905" s="7">
        <v>2.5</v>
      </c>
      <c r="T905" t="s">
        <v>125</v>
      </c>
    </row>
    <row r="906" spans="1:20" x14ac:dyDescent="0.3">
      <c r="A906">
        <v>905</v>
      </c>
      <c r="B906" s="1">
        <v>44928</v>
      </c>
      <c r="C906">
        <v>2023</v>
      </c>
      <c r="D906">
        <v>1</v>
      </c>
      <c r="E906" t="s">
        <v>20</v>
      </c>
      <c r="F906">
        <v>2</v>
      </c>
      <c r="G906" t="s">
        <v>124</v>
      </c>
      <c r="H906" s="2">
        <v>46203.736909722225</v>
      </c>
      <c r="I906">
        <v>15</v>
      </c>
      <c r="J906" t="s">
        <v>120</v>
      </c>
      <c r="K906" s="8">
        <v>1</v>
      </c>
      <c r="L906">
        <v>8</v>
      </c>
      <c r="M906" t="s">
        <v>64</v>
      </c>
      <c r="N906">
        <v>69</v>
      </c>
      <c r="O906" t="s">
        <v>43</v>
      </c>
      <c r="P906" t="s">
        <v>71</v>
      </c>
      <c r="Q906" t="s">
        <v>72</v>
      </c>
      <c r="R906" s="7">
        <v>3.25</v>
      </c>
      <c r="S906" s="7">
        <v>3.25</v>
      </c>
      <c r="T906" t="s">
        <v>125</v>
      </c>
    </row>
    <row r="907" spans="1:20" x14ac:dyDescent="0.3">
      <c r="A907">
        <v>906</v>
      </c>
      <c r="B907" s="1">
        <v>44928</v>
      </c>
      <c r="C907">
        <v>2023</v>
      </c>
      <c r="D907">
        <v>1</v>
      </c>
      <c r="E907" t="s">
        <v>20</v>
      </c>
      <c r="F907">
        <v>2</v>
      </c>
      <c r="G907" t="s">
        <v>124</v>
      </c>
      <c r="H907" s="2">
        <v>46203.737442129626</v>
      </c>
      <c r="I907">
        <v>15</v>
      </c>
      <c r="J907" t="s">
        <v>120</v>
      </c>
      <c r="K907" s="8">
        <v>2</v>
      </c>
      <c r="L907">
        <v>5</v>
      </c>
      <c r="M907" t="s">
        <v>23</v>
      </c>
      <c r="N907">
        <v>47</v>
      </c>
      <c r="O907" t="s">
        <v>30</v>
      </c>
      <c r="P907" t="s">
        <v>60</v>
      </c>
      <c r="Q907" t="s">
        <v>61</v>
      </c>
      <c r="R907" s="7">
        <v>3</v>
      </c>
      <c r="S907" s="7">
        <v>6</v>
      </c>
      <c r="T907" t="s">
        <v>125</v>
      </c>
    </row>
    <row r="908" spans="1:20" x14ac:dyDescent="0.3">
      <c r="A908">
        <v>907</v>
      </c>
      <c r="B908" s="1">
        <v>44928</v>
      </c>
      <c r="C908">
        <v>2023</v>
      </c>
      <c r="D908">
        <v>1</v>
      </c>
      <c r="E908" t="s">
        <v>20</v>
      </c>
      <c r="F908">
        <v>2</v>
      </c>
      <c r="G908" t="s">
        <v>124</v>
      </c>
      <c r="H908" s="2">
        <v>46203.737442129626</v>
      </c>
      <c r="I908">
        <v>15</v>
      </c>
      <c r="J908" t="s">
        <v>120</v>
      </c>
      <c r="K908" s="8">
        <v>1</v>
      </c>
      <c r="L908">
        <v>5</v>
      </c>
      <c r="M908" t="s">
        <v>23</v>
      </c>
      <c r="N908">
        <v>74</v>
      </c>
      <c r="O908" t="s">
        <v>43</v>
      </c>
      <c r="P908" t="s">
        <v>71</v>
      </c>
      <c r="Q908" t="s">
        <v>103</v>
      </c>
      <c r="R908" s="7">
        <v>3.5</v>
      </c>
      <c r="S908" s="7">
        <v>3.5</v>
      </c>
      <c r="T908" t="s">
        <v>125</v>
      </c>
    </row>
    <row r="909" spans="1:20" x14ac:dyDescent="0.3">
      <c r="A909">
        <v>908</v>
      </c>
      <c r="B909" s="1">
        <v>44928</v>
      </c>
      <c r="C909">
        <v>2023</v>
      </c>
      <c r="D909">
        <v>1</v>
      </c>
      <c r="E909" t="s">
        <v>20</v>
      </c>
      <c r="F909">
        <v>2</v>
      </c>
      <c r="G909" t="s">
        <v>124</v>
      </c>
      <c r="H909" s="2">
        <v>46203.738078703704</v>
      </c>
      <c r="I909">
        <v>15</v>
      </c>
      <c r="J909" t="s">
        <v>120</v>
      </c>
      <c r="K909" s="8">
        <v>1</v>
      </c>
      <c r="L909">
        <v>8</v>
      </c>
      <c r="M909" t="s">
        <v>64</v>
      </c>
      <c r="N909">
        <v>23</v>
      </c>
      <c r="O909" t="s">
        <v>24</v>
      </c>
      <c r="P909" t="s">
        <v>40</v>
      </c>
      <c r="Q909" t="s">
        <v>94</v>
      </c>
      <c r="R909" s="7">
        <v>2.5</v>
      </c>
      <c r="S909" s="7">
        <v>2.5</v>
      </c>
      <c r="T909" t="s">
        <v>125</v>
      </c>
    </row>
    <row r="910" spans="1:20" x14ac:dyDescent="0.3">
      <c r="A910">
        <v>909</v>
      </c>
      <c r="B910" s="1">
        <v>44928</v>
      </c>
      <c r="C910">
        <v>2023</v>
      </c>
      <c r="D910">
        <v>1</v>
      </c>
      <c r="E910" t="s">
        <v>20</v>
      </c>
      <c r="F910">
        <v>2</v>
      </c>
      <c r="G910" t="s">
        <v>124</v>
      </c>
      <c r="H910" s="2">
        <v>46203.739571759259</v>
      </c>
      <c r="I910">
        <v>15</v>
      </c>
      <c r="J910" t="s">
        <v>120</v>
      </c>
      <c r="K910" s="8">
        <v>2</v>
      </c>
      <c r="L910">
        <v>3</v>
      </c>
      <c r="M910" t="s">
        <v>114</v>
      </c>
      <c r="N910">
        <v>44</v>
      </c>
      <c r="O910" t="s">
        <v>30</v>
      </c>
      <c r="P910" t="s">
        <v>65</v>
      </c>
      <c r="Q910" t="s">
        <v>92</v>
      </c>
      <c r="R910" s="7">
        <v>2.5</v>
      </c>
      <c r="S910" s="7">
        <v>5</v>
      </c>
      <c r="T910" t="s">
        <v>125</v>
      </c>
    </row>
    <row r="911" spans="1:20" x14ac:dyDescent="0.3">
      <c r="A911">
        <v>910</v>
      </c>
      <c r="B911" s="1">
        <v>44928</v>
      </c>
      <c r="C911">
        <v>2023</v>
      </c>
      <c r="D911">
        <v>1</v>
      </c>
      <c r="E911" t="s">
        <v>20</v>
      </c>
      <c r="F911">
        <v>2</v>
      </c>
      <c r="G911" t="s">
        <v>124</v>
      </c>
      <c r="H911" s="2">
        <v>46203.742303240739</v>
      </c>
      <c r="I911">
        <v>15</v>
      </c>
      <c r="J911" t="s">
        <v>120</v>
      </c>
      <c r="K911" s="8">
        <v>1</v>
      </c>
      <c r="L911">
        <v>5</v>
      </c>
      <c r="M911" t="s">
        <v>23</v>
      </c>
      <c r="N911">
        <v>46</v>
      </c>
      <c r="O911" t="s">
        <v>30</v>
      </c>
      <c r="P911" t="s">
        <v>60</v>
      </c>
      <c r="Q911" t="s">
        <v>95</v>
      </c>
      <c r="R911" s="7">
        <v>2.5</v>
      </c>
      <c r="S911" s="7">
        <v>2.5</v>
      </c>
      <c r="T911" t="s">
        <v>125</v>
      </c>
    </row>
    <row r="912" spans="1:20" x14ac:dyDescent="0.3">
      <c r="A912">
        <v>911</v>
      </c>
      <c r="B912" s="1">
        <v>44928</v>
      </c>
      <c r="C912">
        <v>2023</v>
      </c>
      <c r="D912">
        <v>1</v>
      </c>
      <c r="E912" t="s">
        <v>20</v>
      </c>
      <c r="F912">
        <v>2</v>
      </c>
      <c r="G912" t="s">
        <v>124</v>
      </c>
      <c r="H912" s="2">
        <v>46203.742303240739</v>
      </c>
      <c r="I912">
        <v>15</v>
      </c>
      <c r="J912" t="s">
        <v>120</v>
      </c>
      <c r="K912" s="8">
        <v>1</v>
      </c>
      <c r="L912">
        <v>5</v>
      </c>
      <c r="M912" t="s">
        <v>23</v>
      </c>
      <c r="N912">
        <v>73</v>
      </c>
      <c r="O912" t="s">
        <v>43</v>
      </c>
      <c r="P912" t="s">
        <v>78</v>
      </c>
      <c r="Q912" t="s">
        <v>113</v>
      </c>
      <c r="R912" s="7">
        <v>3.75</v>
      </c>
      <c r="S912" s="7">
        <v>3.75</v>
      </c>
      <c r="T912" t="s">
        <v>125</v>
      </c>
    </row>
    <row r="913" spans="1:20" x14ac:dyDescent="0.3">
      <c r="A913">
        <v>912</v>
      </c>
      <c r="B913" s="1">
        <v>44928</v>
      </c>
      <c r="C913">
        <v>2023</v>
      </c>
      <c r="D913">
        <v>1</v>
      </c>
      <c r="E913" t="s">
        <v>20</v>
      </c>
      <c r="F913">
        <v>2</v>
      </c>
      <c r="G913" t="s">
        <v>124</v>
      </c>
      <c r="H913" s="2">
        <v>46203.742673611108</v>
      </c>
      <c r="I913">
        <v>15</v>
      </c>
      <c r="J913" t="s">
        <v>120</v>
      </c>
      <c r="K913" s="8">
        <v>1</v>
      </c>
      <c r="L913">
        <v>5</v>
      </c>
      <c r="M913" t="s">
        <v>23</v>
      </c>
      <c r="N913">
        <v>42</v>
      </c>
      <c r="O913" t="s">
        <v>30</v>
      </c>
      <c r="P913" t="s">
        <v>65</v>
      </c>
      <c r="Q913" t="s">
        <v>66</v>
      </c>
      <c r="R913" s="7">
        <v>2.5</v>
      </c>
      <c r="S913" s="7">
        <v>2.5</v>
      </c>
      <c r="T913" t="s">
        <v>125</v>
      </c>
    </row>
    <row r="914" spans="1:20" x14ac:dyDescent="0.3">
      <c r="A914">
        <v>913</v>
      </c>
      <c r="B914" s="1">
        <v>44928</v>
      </c>
      <c r="C914">
        <v>2023</v>
      </c>
      <c r="D914">
        <v>1</v>
      </c>
      <c r="E914" t="s">
        <v>20</v>
      </c>
      <c r="F914">
        <v>2</v>
      </c>
      <c r="G914" t="s">
        <v>124</v>
      </c>
      <c r="H914" s="2">
        <v>46203.742673611108</v>
      </c>
      <c r="I914">
        <v>15</v>
      </c>
      <c r="J914" t="s">
        <v>120</v>
      </c>
      <c r="K914" s="8">
        <v>1</v>
      </c>
      <c r="L914">
        <v>5</v>
      </c>
      <c r="M914" t="s">
        <v>23</v>
      </c>
      <c r="N914">
        <v>78</v>
      </c>
      <c r="O914" t="s">
        <v>43</v>
      </c>
      <c r="P914" t="s">
        <v>44</v>
      </c>
      <c r="Q914" t="s">
        <v>91</v>
      </c>
      <c r="R914" s="7">
        <v>4.5</v>
      </c>
      <c r="S914" s="7">
        <v>4.5</v>
      </c>
      <c r="T914" t="s">
        <v>125</v>
      </c>
    </row>
    <row r="915" spans="1:20" x14ac:dyDescent="0.3">
      <c r="A915">
        <v>914</v>
      </c>
      <c r="B915" s="1">
        <v>44928</v>
      </c>
      <c r="C915">
        <v>2023</v>
      </c>
      <c r="D915">
        <v>1</v>
      </c>
      <c r="E915" t="s">
        <v>20</v>
      </c>
      <c r="F915">
        <v>2</v>
      </c>
      <c r="G915" t="s">
        <v>124</v>
      </c>
      <c r="H915" s="2">
        <v>46203.743194444447</v>
      </c>
      <c r="I915">
        <v>15</v>
      </c>
      <c r="J915" t="s">
        <v>120</v>
      </c>
      <c r="K915" s="8">
        <v>2</v>
      </c>
      <c r="L915">
        <v>3</v>
      </c>
      <c r="M915" t="s">
        <v>114</v>
      </c>
      <c r="N915">
        <v>54</v>
      </c>
      <c r="O915" t="s">
        <v>30</v>
      </c>
      <c r="P915" t="s">
        <v>31</v>
      </c>
      <c r="Q915" t="s">
        <v>87</v>
      </c>
      <c r="R915" s="7">
        <v>2.5</v>
      </c>
      <c r="S915" s="7">
        <v>5</v>
      </c>
      <c r="T915" t="s">
        <v>125</v>
      </c>
    </row>
    <row r="916" spans="1:20" x14ac:dyDescent="0.3">
      <c r="A916">
        <v>915</v>
      </c>
      <c r="B916" s="1">
        <v>44928</v>
      </c>
      <c r="C916">
        <v>2023</v>
      </c>
      <c r="D916">
        <v>1</v>
      </c>
      <c r="E916" t="s">
        <v>20</v>
      </c>
      <c r="F916">
        <v>2</v>
      </c>
      <c r="G916" t="s">
        <v>124</v>
      </c>
      <c r="H916" s="2">
        <v>46203.743194444447</v>
      </c>
      <c r="I916">
        <v>15</v>
      </c>
      <c r="J916" t="s">
        <v>120</v>
      </c>
      <c r="K916" s="8">
        <v>1</v>
      </c>
      <c r="L916">
        <v>3</v>
      </c>
      <c r="M916" t="s">
        <v>114</v>
      </c>
      <c r="N916">
        <v>79</v>
      </c>
      <c r="O916" t="s">
        <v>43</v>
      </c>
      <c r="P916" t="s">
        <v>44</v>
      </c>
      <c r="Q916" t="s">
        <v>62</v>
      </c>
      <c r="R916" s="7">
        <v>3.75</v>
      </c>
      <c r="S916" s="7">
        <v>3.75</v>
      </c>
      <c r="T916" t="s">
        <v>125</v>
      </c>
    </row>
    <row r="917" spans="1:20" x14ac:dyDescent="0.3">
      <c r="A917">
        <v>916</v>
      </c>
      <c r="B917" s="1">
        <v>44928</v>
      </c>
      <c r="C917">
        <v>2023</v>
      </c>
      <c r="D917">
        <v>1</v>
      </c>
      <c r="E917" t="s">
        <v>20</v>
      </c>
      <c r="F917">
        <v>2</v>
      </c>
      <c r="G917" t="s">
        <v>124</v>
      </c>
      <c r="H917" s="2">
        <v>46203.743368055555</v>
      </c>
      <c r="I917">
        <v>15</v>
      </c>
      <c r="J917" t="s">
        <v>120</v>
      </c>
      <c r="K917" s="8">
        <v>2</v>
      </c>
      <c r="L917">
        <v>5</v>
      </c>
      <c r="M917" t="s">
        <v>23</v>
      </c>
      <c r="N917">
        <v>47</v>
      </c>
      <c r="O917" t="s">
        <v>30</v>
      </c>
      <c r="P917" t="s">
        <v>60</v>
      </c>
      <c r="Q917" t="s">
        <v>61</v>
      </c>
      <c r="R917" s="7">
        <v>3</v>
      </c>
      <c r="S917" s="7">
        <v>6</v>
      </c>
      <c r="T917" t="s">
        <v>125</v>
      </c>
    </row>
    <row r="918" spans="1:20" x14ac:dyDescent="0.3">
      <c r="A918">
        <v>917</v>
      </c>
      <c r="B918" s="1">
        <v>44928</v>
      </c>
      <c r="C918">
        <v>2023</v>
      </c>
      <c r="D918">
        <v>1</v>
      </c>
      <c r="E918" t="s">
        <v>20</v>
      </c>
      <c r="F918">
        <v>2</v>
      </c>
      <c r="G918" t="s">
        <v>124</v>
      </c>
      <c r="H918" s="2">
        <v>46203.743379629632</v>
      </c>
      <c r="I918">
        <v>15</v>
      </c>
      <c r="J918" t="s">
        <v>120</v>
      </c>
      <c r="K918" s="8">
        <v>2</v>
      </c>
      <c r="L918">
        <v>8</v>
      </c>
      <c r="M918" t="s">
        <v>64</v>
      </c>
      <c r="N918">
        <v>46</v>
      </c>
      <c r="O918" t="s">
        <v>30</v>
      </c>
      <c r="P918" t="s">
        <v>60</v>
      </c>
      <c r="Q918" t="s">
        <v>95</v>
      </c>
      <c r="R918" s="7">
        <v>2.5</v>
      </c>
      <c r="S918" s="7">
        <v>5</v>
      </c>
      <c r="T918" t="s">
        <v>125</v>
      </c>
    </row>
    <row r="919" spans="1:20" x14ac:dyDescent="0.3">
      <c r="A919">
        <v>918</v>
      </c>
      <c r="B919" s="1">
        <v>44928</v>
      </c>
      <c r="C919">
        <v>2023</v>
      </c>
      <c r="D919">
        <v>1</v>
      </c>
      <c r="E919" t="s">
        <v>20</v>
      </c>
      <c r="F919">
        <v>2</v>
      </c>
      <c r="G919" t="s">
        <v>124</v>
      </c>
      <c r="H919" s="2">
        <v>46203.744085648148</v>
      </c>
      <c r="I919">
        <v>15</v>
      </c>
      <c r="J919" t="s">
        <v>120</v>
      </c>
      <c r="K919" s="8">
        <v>1</v>
      </c>
      <c r="L919">
        <v>5</v>
      </c>
      <c r="M919" t="s">
        <v>23</v>
      </c>
      <c r="N919">
        <v>34</v>
      </c>
      <c r="O919" t="s">
        <v>24</v>
      </c>
      <c r="P919" t="s">
        <v>99</v>
      </c>
      <c r="Q919" t="s">
        <v>100</v>
      </c>
      <c r="R919" s="7">
        <v>2.4500000000000002</v>
      </c>
      <c r="S919" s="7">
        <v>2.4500000000000002</v>
      </c>
      <c r="T919" t="s">
        <v>125</v>
      </c>
    </row>
    <row r="920" spans="1:20" x14ac:dyDescent="0.3">
      <c r="A920">
        <v>919</v>
      </c>
      <c r="B920" s="1">
        <v>44928</v>
      </c>
      <c r="C920">
        <v>2023</v>
      </c>
      <c r="D920">
        <v>1</v>
      </c>
      <c r="E920" t="s">
        <v>20</v>
      </c>
      <c r="F920">
        <v>2</v>
      </c>
      <c r="G920" t="s">
        <v>124</v>
      </c>
      <c r="H920" s="2">
        <v>46203.744409722225</v>
      </c>
      <c r="I920">
        <v>15</v>
      </c>
      <c r="J920" t="s">
        <v>120</v>
      </c>
      <c r="K920" s="8">
        <v>2</v>
      </c>
      <c r="L920">
        <v>5</v>
      </c>
      <c r="M920" t="s">
        <v>23</v>
      </c>
      <c r="N920">
        <v>38</v>
      </c>
      <c r="O920" t="s">
        <v>24</v>
      </c>
      <c r="P920" t="s">
        <v>48</v>
      </c>
      <c r="Q920" t="s">
        <v>81</v>
      </c>
      <c r="R920" s="7">
        <v>3.75</v>
      </c>
      <c r="S920" s="7">
        <v>7.5</v>
      </c>
      <c r="T920" t="s">
        <v>125</v>
      </c>
    </row>
    <row r="921" spans="1:20" x14ac:dyDescent="0.3">
      <c r="A921">
        <v>920</v>
      </c>
      <c r="B921" s="1">
        <v>44928</v>
      </c>
      <c r="C921">
        <v>2023</v>
      </c>
      <c r="D921">
        <v>1</v>
      </c>
      <c r="E921" t="s">
        <v>20</v>
      </c>
      <c r="F921">
        <v>2</v>
      </c>
      <c r="G921" t="s">
        <v>124</v>
      </c>
      <c r="H921" s="2">
        <v>46203.744606481479</v>
      </c>
      <c r="I921">
        <v>15</v>
      </c>
      <c r="J921" t="s">
        <v>120</v>
      </c>
      <c r="K921" s="8">
        <v>2</v>
      </c>
      <c r="L921">
        <v>5</v>
      </c>
      <c r="M921" t="s">
        <v>23</v>
      </c>
      <c r="N921">
        <v>34</v>
      </c>
      <c r="O921" t="s">
        <v>24</v>
      </c>
      <c r="P921" t="s">
        <v>99</v>
      </c>
      <c r="Q921" t="s">
        <v>100</v>
      </c>
      <c r="R921" s="7">
        <v>2.4500000000000002</v>
      </c>
      <c r="S921" s="7">
        <v>4.9000000000000004</v>
      </c>
      <c r="T921" t="s">
        <v>125</v>
      </c>
    </row>
    <row r="922" spans="1:20" x14ac:dyDescent="0.3">
      <c r="A922">
        <v>921</v>
      </c>
      <c r="B922" s="1">
        <v>44928</v>
      </c>
      <c r="C922">
        <v>2023</v>
      </c>
      <c r="D922">
        <v>1</v>
      </c>
      <c r="E922" t="s">
        <v>20</v>
      </c>
      <c r="F922">
        <v>2</v>
      </c>
      <c r="G922" t="s">
        <v>124</v>
      </c>
      <c r="H922" s="2">
        <v>46203.745115740741</v>
      </c>
      <c r="I922">
        <v>15</v>
      </c>
      <c r="J922" t="s">
        <v>120</v>
      </c>
      <c r="K922" s="8">
        <v>1</v>
      </c>
      <c r="L922">
        <v>8</v>
      </c>
      <c r="M922" t="s">
        <v>64</v>
      </c>
      <c r="N922">
        <v>56</v>
      </c>
      <c r="O922" t="s">
        <v>30</v>
      </c>
      <c r="P922" t="s">
        <v>31</v>
      </c>
      <c r="Q922" t="s">
        <v>54</v>
      </c>
      <c r="R922" s="7">
        <v>2.5499999999999998</v>
      </c>
      <c r="S922" s="7">
        <v>2.5499999999999998</v>
      </c>
      <c r="T922" t="s">
        <v>125</v>
      </c>
    </row>
    <row r="923" spans="1:20" x14ac:dyDescent="0.3">
      <c r="A923">
        <v>922</v>
      </c>
      <c r="B923" s="1">
        <v>44928</v>
      </c>
      <c r="C923">
        <v>2023</v>
      </c>
      <c r="D923">
        <v>1</v>
      </c>
      <c r="E923" t="s">
        <v>20</v>
      </c>
      <c r="F923">
        <v>2</v>
      </c>
      <c r="G923" t="s">
        <v>124</v>
      </c>
      <c r="H923" s="2">
        <v>46203.746331018519</v>
      </c>
      <c r="I923">
        <v>15</v>
      </c>
      <c r="J923" t="s">
        <v>120</v>
      </c>
      <c r="K923" s="8">
        <v>2</v>
      </c>
      <c r="L923">
        <v>8</v>
      </c>
      <c r="M923" t="s">
        <v>64</v>
      </c>
      <c r="N923">
        <v>28</v>
      </c>
      <c r="O923" t="s">
        <v>24</v>
      </c>
      <c r="P923" t="s">
        <v>25</v>
      </c>
      <c r="Q923" t="s">
        <v>46</v>
      </c>
      <c r="R923" s="7">
        <v>2</v>
      </c>
      <c r="S923" s="7">
        <v>4</v>
      </c>
      <c r="T923" t="s">
        <v>125</v>
      </c>
    </row>
    <row r="924" spans="1:20" x14ac:dyDescent="0.3">
      <c r="A924">
        <v>923</v>
      </c>
      <c r="B924" s="1">
        <v>44928</v>
      </c>
      <c r="C924">
        <v>2023</v>
      </c>
      <c r="D924">
        <v>1</v>
      </c>
      <c r="E924" t="s">
        <v>20</v>
      </c>
      <c r="F924">
        <v>2</v>
      </c>
      <c r="G924" t="s">
        <v>124</v>
      </c>
      <c r="H924" s="2">
        <v>46203.746747685182</v>
      </c>
      <c r="I924">
        <v>15</v>
      </c>
      <c r="J924" t="s">
        <v>120</v>
      </c>
      <c r="K924" s="8">
        <v>1</v>
      </c>
      <c r="L924">
        <v>5</v>
      </c>
      <c r="M924" t="s">
        <v>23</v>
      </c>
      <c r="N924">
        <v>55</v>
      </c>
      <c r="O924" t="s">
        <v>30</v>
      </c>
      <c r="P924" t="s">
        <v>31</v>
      </c>
      <c r="Q924" t="s">
        <v>88</v>
      </c>
      <c r="R924" s="7">
        <v>4</v>
      </c>
      <c r="S924" s="7">
        <v>4</v>
      </c>
      <c r="T924" t="s">
        <v>125</v>
      </c>
    </row>
    <row r="925" spans="1:20" x14ac:dyDescent="0.3">
      <c r="A925">
        <v>924</v>
      </c>
      <c r="B925" s="1">
        <v>44928</v>
      </c>
      <c r="C925">
        <v>2023</v>
      </c>
      <c r="D925">
        <v>1</v>
      </c>
      <c r="E925" t="s">
        <v>20</v>
      </c>
      <c r="F925">
        <v>2</v>
      </c>
      <c r="G925" t="s">
        <v>124</v>
      </c>
      <c r="H925" s="2">
        <v>46203.746747685182</v>
      </c>
      <c r="I925">
        <v>15</v>
      </c>
      <c r="J925" t="s">
        <v>120</v>
      </c>
      <c r="K925" s="8">
        <v>1</v>
      </c>
      <c r="L925">
        <v>5</v>
      </c>
      <c r="M925" t="s">
        <v>23</v>
      </c>
      <c r="N925">
        <v>79</v>
      </c>
      <c r="O925" t="s">
        <v>43</v>
      </c>
      <c r="P925" t="s">
        <v>44</v>
      </c>
      <c r="Q925" t="s">
        <v>62</v>
      </c>
      <c r="R925" s="7">
        <v>3.75</v>
      </c>
      <c r="S925" s="7">
        <v>3.75</v>
      </c>
      <c r="T925" t="s">
        <v>125</v>
      </c>
    </row>
    <row r="926" spans="1:20" x14ac:dyDescent="0.3">
      <c r="A926">
        <v>925</v>
      </c>
      <c r="B926" s="1">
        <v>44928</v>
      </c>
      <c r="C926">
        <v>2023</v>
      </c>
      <c r="D926">
        <v>1</v>
      </c>
      <c r="E926" t="s">
        <v>20</v>
      </c>
      <c r="F926">
        <v>2</v>
      </c>
      <c r="G926" t="s">
        <v>124</v>
      </c>
      <c r="H926" s="2">
        <v>46203.746840277781</v>
      </c>
      <c r="I926">
        <v>15</v>
      </c>
      <c r="J926" t="s">
        <v>120</v>
      </c>
      <c r="K926" s="8">
        <v>2</v>
      </c>
      <c r="L926">
        <v>5</v>
      </c>
      <c r="M926" t="s">
        <v>23</v>
      </c>
      <c r="N926">
        <v>56</v>
      </c>
      <c r="O926" t="s">
        <v>30</v>
      </c>
      <c r="P926" t="s">
        <v>31</v>
      </c>
      <c r="Q926" t="s">
        <v>54</v>
      </c>
      <c r="R926" s="7">
        <v>2.5499999999999998</v>
      </c>
      <c r="S926" s="7">
        <v>5.0999999999999996</v>
      </c>
      <c r="T926" t="s">
        <v>125</v>
      </c>
    </row>
    <row r="927" spans="1:20" x14ac:dyDescent="0.3">
      <c r="A927">
        <v>926</v>
      </c>
      <c r="B927" s="1">
        <v>44928</v>
      </c>
      <c r="C927">
        <v>2023</v>
      </c>
      <c r="D927">
        <v>1</v>
      </c>
      <c r="E927" t="s">
        <v>20</v>
      </c>
      <c r="F927">
        <v>2</v>
      </c>
      <c r="G927" t="s">
        <v>124</v>
      </c>
      <c r="H927" s="2">
        <v>46203.747696759259</v>
      </c>
      <c r="I927">
        <v>15</v>
      </c>
      <c r="J927" t="s">
        <v>120</v>
      </c>
      <c r="K927" s="8">
        <v>1</v>
      </c>
      <c r="L927">
        <v>8</v>
      </c>
      <c r="M927" t="s">
        <v>64</v>
      </c>
      <c r="N927">
        <v>48</v>
      </c>
      <c r="O927" t="s">
        <v>30</v>
      </c>
      <c r="P927" t="s">
        <v>57</v>
      </c>
      <c r="Q927" t="s">
        <v>93</v>
      </c>
      <c r="R927" s="7">
        <v>2.5</v>
      </c>
      <c r="S927" s="7">
        <v>2.5</v>
      </c>
      <c r="T927" t="s">
        <v>125</v>
      </c>
    </row>
    <row r="928" spans="1:20" x14ac:dyDescent="0.3">
      <c r="A928">
        <v>927</v>
      </c>
      <c r="B928" s="1">
        <v>44928</v>
      </c>
      <c r="C928">
        <v>2023</v>
      </c>
      <c r="D928">
        <v>1</v>
      </c>
      <c r="E928" t="s">
        <v>20</v>
      </c>
      <c r="F928">
        <v>2</v>
      </c>
      <c r="G928" t="s">
        <v>124</v>
      </c>
      <c r="H928" s="2">
        <v>46203.748692129629</v>
      </c>
      <c r="I928">
        <v>15</v>
      </c>
      <c r="J928" t="s">
        <v>120</v>
      </c>
      <c r="K928" s="8">
        <v>2</v>
      </c>
      <c r="L928">
        <v>5</v>
      </c>
      <c r="M928" t="s">
        <v>23</v>
      </c>
      <c r="N928">
        <v>29</v>
      </c>
      <c r="O928" t="s">
        <v>24</v>
      </c>
      <c r="P928" t="s">
        <v>25</v>
      </c>
      <c r="Q928" t="s">
        <v>85</v>
      </c>
      <c r="R928" s="7">
        <v>2.5</v>
      </c>
      <c r="S928" s="7">
        <v>5</v>
      </c>
      <c r="T928" t="s">
        <v>125</v>
      </c>
    </row>
    <row r="929" spans="1:20" x14ac:dyDescent="0.3">
      <c r="A929">
        <v>928</v>
      </c>
      <c r="B929" s="1">
        <v>44928</v>
      </c>
      <c r="C929">
        <v>2023</v>
      </c>
      <c r="D929">
        <v>1</v>
      </c>
      <c r="E929" t="s">
        <v>20</v>
      </c>
      <c r="F929">
        <v>2</v>
      </c>
      <c r="G929" t="s">
        <v>124</v>
      </c>
      <c r="H929" s="2">
        <v>46203.7497337963</v>
      </c>
      <c r="I929">
        <v>15</v>
      </c>
      <c r="J929" t="s">
        <v>120</v>
      </c>
      <c r="K929" s="8">
        <v>1</v>
      </c>
      <c r="L929">
        <v>3</v>
      </c>
      <c r="M929" t="s">
        <v>114</v>
      </c>
      <c r="N929">
        <v>58</v>
      </c>
      <c r="O929" t="s">
        <v>35</v>
      </c>
      <c r="P929" t="s">
        <v>36</v>
      </c>
      <c r="Q929" t="s">
        <v>51</v>
      </c>
      <c r="R929" s="7">
        <v>3.5</v>
      </c>
      <c r="S929" s="7">
        <v>3.5</v>
      </c>
      <c r="T929" t="s">
        <v>125</v>
      </c>
    </row>
    <row r="930" spans="1:20" x14ac:dyDescent="0.3">
      <c r="A930">
        <v>929</v>
      </c>
      <c r="B930" s="1">
        <v>44928</v>
      </c>
      <c r="C930">
        <v>2023</v>
      </c>
      <c r="D930">
        <v>1</v>
      </c>
      <c r="E930" t="s">
        <v>20</v>
      </c>
      <c r="F930">
        <v>2</v>
      </c>
      <c r="G930" t="s">
        <v>124</v>
      </c>
      <c r="H930" s="2">
        <v>46203.749918981484</v>
      </c>
      <c r="I930">
        <v>15</v>
      </c>
      <c r="J930" t="s">
        <v>120</v>
      </c>
      <c r="K930" s="8">
        <v>2</v>
      </c>
      <c r="L930">
        <v>3</v>
      </c>
      <c r="M930" t="s">
        <v>114</v>
      </c>
      <c r="N930">
        <v>43</v>
      </c>
      <c r="O930" t="s">
        <v>30</v>
      </c>
      <c r="P930" t="s">
        <v>65</v>
      </c>
      <c r="Q930" t="s">
        <v>75</v>
      </c>
      <c r="R930" s="7">
        <v>3</v>
      </c>
      <c r="S930" s="7">
        <v>6</v>
      </c>
      <c r="T930" t="s">
        <v>125</v>
      </c>
    </row>
    <row r="931" spans="1:20" x14ac:dyDescent="0.3">
      <c r="A931">
        <v>930</v>
      </c>
      <c r="B931" s="1">
        <v>44928</v>
      </c>
      <c r="C931">
        <v>2023</v>
      </c>
      <c r="D931">
        <v>1</v>
      </c>
      <c r="E931" t="s">
        <v>20</v>
      </c>
      <c r="F931">
        <v>2</v>
      </c>
      <c r="G931" t="s">
        <v>124</v>
      </c>
      <c r="H931" s="2">
        <v>46203.750381944446</v>
      </c>
      <c r="I931">
        <v>16</v>
      </c>
      <c r="J931" t="s">
        <v>120</v>
      </c>
      <c r="K931" s="8">
        <v>2</v>
      </c>
      <c r="L931">
        <v>3</v>
      </c>
      <c r="M931" t="s">
        <v>114</v>
      </c>
      <c r="N931">
        <v>51</v>
      </c>
      <c r="O931" t="s">
        <v>30</v>
      </c>
      <c r="P931" t="s">
        <v>57</v>
      </c>
      <c r="Q931" t="s">
        <v>58</v>
      </c>
      <c r="R931" s="7">
        <v>3</v>
      </c>
      <c r="S931" s="7">
        <v>6</v>
      </c>
      <c r="T931" t="s">
        <v>125</v>
      </c>
    </row>
    <row r="932" spans="1:20" x14ac:dyDescent="0.3">
      <c r="A932">
        <v>931</v>
      </c>
      <c r="B932" s="1">
        <v>44928</v>
      </c>
      <c r="C932">
        <v>2023</v>
      </c>
      <c r="D932">
        <v>1</v>
      </c>
      <c r="E932" t="s">
        <v>20</v>
      </c>
      <c r="F932">
        <v>2</v>
      </c>
      <c r="G932" t="s">
        <v>124</v>
      </c>
      <c r="H932" s="2">
        <v>46203.750381944446</v>
      </c>
      <c r="I932">
        <v>16</v>
      </c>
      <c r="J932" t="s">
        <v>120</v>
      </c>
      <c r="K932" s="8">
        <v>1</v>
      </c>
      <c r="L932">
        <v>3</v>
      </c>
      <c r="M932" t="s">
        <v>114</v>
      </c>
      <c r="N932">
        <v>78</v>
      </c>
      <c r="O932" t="s">
        <v>43</v>
      </c>
      <c r="P932" t="s">
        <v>44</v>
      </c>
      <c r="Q932" t="s">
        <v>91</v>
      </c>
      <c r="R932" s="7">
        <v>4.5</v>
      </c>
      <c r="S932" s="7">
        <v>4.5</v>
      </c>
      <c r="T932" t="s">
        <v>125</v>
      </c>
    </row>
    <row r="933" spans="1:20" x14ac:dyDescent="0.3">
      <c r="A933">
        <v>932</v>
      </c>
      <c r="B933" s="1">
        <v>44928</v>
      </c>
      <c r="C933">
        <v>2023</v>
      </c>
      <c r="D933">
        <v>1</v>
      </c>
      <c r="E933" t="s">
        <v>20</v>
      </c>
      <c r="F933">
        <v>2</v>
      </c>
      <c r="G933" t="s">
        <v>124</v>
      </c>
      <c r="H933" s="2">
        <v>46203.751493055555</v>
      </c>
      <c r="I933">
        <v>16</v>
      </c>
      <c r="J933" t="s">
        <v>120</v>
      </c>
      <c r="K933" s="8">
        <v>1</v>
      </c>
      <c r="L933">
        <v>5</v>
      </c>
      <c r="M933" t="s">
        <v>23</v>
      </c>
      <c r="N933">
        <v>40</v>
      </c>
      <c r="O933" t="s">
        <v>24</v>
      </c>
      <c r="P933" t="s">
        <v>48</v>
      </c>
      <c r="Q933" t="s">
        <v>74</v>
      </c>
      <c r="R933" s="7">
        <v>3.75</v>
      </c>
      <c r="S933" s="7">
        <v>3.75</v>
      </c>
      <c r="T933" t="s">
        <v>125</v>
      </c>
    </row>
    <row r="934" spans="1:20" x14ac:dyDescent="0.3">
      <c r="A934">
        <v>933</v>
      </c>
      <c r="B934" s="1">
        <v>44928</v>
      </c>
      <c r="C934">
        <v>2023</v>
      </c>
      <c r="D934">
        <v>1</v>
      </c>
      <c r="E934" t="s">
        <v>20</v>
      </c>
      <c r="F934">
        <v>2</v>
      </c>
      <c r="G934" t="s">
        <v>124</v>
      </c>
      <c r="H934" s="2">
        <v>46203.751631944448</v>
      </c>
      <c r="I934">
        <v>16</v>
      </c>
      <c r="J934" t="s">
        <v>120</v>
      </c>
      <c r="K934" s="8">
        <v>1</v>
      </c>
      <c r="L934">
        <v>5</v>
      </c>
      <c r="M934" t="s">
        <v>23</v>
      </c>
      <c r="N934">
        <v>44</v>
      </c>
      <c r="O934" t="s">
        <v>30</v>
      </c>
      <c r="P934" t="s">
        <v>65</v>
      </c>
      <c r="Q934" t="s">
        <v>92</v>
      </c>
      <c r="R934" s="7">
        <v>2.5</v>
      </c>
      <c r="S934" s="7">
        <v>2.5</v>
      </c>
      <c r="T934" t="s">
        <v>125</v>
      </c>
    </row>
    <row r="935" spans="1:20" x14ac:dyDescent="0.3">
      <c r="A935">
        <v>934</v>
      </c>
      <c r="B935" s="1">
        <v>44928</v>
      </c>
      <c r="C935">
        <v>2023</v>
      </c>
      <c r="D935">
        <v>1</v>
      </c>
      <c r="E935" t="s">
        <v>20</v>
      </c>
      <c r="F935">
        <v>2</v>
      </c>
      <c r="G935" t="s">
        <v>124</v>
      </c>
      <c r="H935" s="2">
        <v>46203.753680555557</v>
      </c>
      <c r="I935">
        <v>16</v>
      </c>
      <c r="J935" t="s">
        <v>120</v>
      </c>
      <c r="K935" s="8">
        <v>1</v>
      </c>
      <c r="L935">
        <v>5</v>
      </c>
      <c r="M935" t="s">
        <v>23</v>
      </c>
      <c r="N935">
        <v>52</v>
      </c>
      <c r="O935" t="s">
        <v>30</v>
      </c>
      <c r="P935" t="s">
        <v>31</v>
      </c>
      <c r="Q935" t="s">
        <v>118</v>
      </c>
      <c r="R935" s="7">
        <v>2.5</v>
      </c>
      <c r="S935" s="7">
        <v>2.5</v>
      </c>
      <c r="T935" t="s">
        <v>125</v>
      </c>
    </row>
    <row r="936" spans="1:20" x14ac:dyDescent="0.3">
      <c r="A936">
        <v>935</v>
      </c>
      <c r="B936" s="1">
        <v>44928</v>
      </c>
      <c r="C936">
        <v>2023</v>
      </c>
      <c r="D936">
        <v>1</v>
      </c>
      <c r="E936" t="s">
        <v>20</v>
      </c>
      <c r="F936">
        <v>2</v>
      </c>
      <c r="G936" t="s">
        <v>124</v>
      </c>
      <c r="H936" s="2">
        <v>46203.754178240742</v>
      </c>
      <c r="I936">
        <v>16</v>
      </c>
      <c r="J936" t="s">
        <v>120</v>
      </c>
      <c r="K936" s="8">
        <v>2</v>
      </c>
      <c r="L936">
        <v>5</v>
      </c>
      <c r="M936" t="s">
        <v>23</v>
      </c>
      <c r="N936">
        <v>34</v>
      </c>
      <c r="O936" t="s">
        <v>24</v>
      </c>
      <c r="P936" t="s">
        <v>99</v>
      </c>
      <c r="Q936" t="s">
        <v>100</v>
      </c>
      <c r="R936" s="7">
        <v>2.4500000000000002</v>
      </c>
      <c r="S936" s="7">
        <v>4.9000000000000004</v>
      </c>
      <c r="T936" t="s">
        <v>125</v>
      </c>
    </row>
    <row r="937" spans="1:20" x14ac:dyDescent="0.3">
      <c r="A937">
        <v>936</v>
      </c>
      <c r="B937" s="1">
        <v>44928</v>
      </c>
      <c r="C937">
        <v>2023</v>
      </c>
      <c r="D937">
        <v>1</v>
      </c>
      <c r="E937" t="s">
        <v>20</v>
      </c>
      <c r="F937">
        <v>2</v>
      </c>
      <c r="G937" t="s">
        <v>124</v>
      </c>
      <c r="H937" s="2">
        <v>46203.754374999997</v>
      </c>
      <c r="I937">
        <v>16</v>
      </c>
      <c r="J937" t="s">
        <v>120</v>
      </c>
      <c r="K937" s="8">
        <v>1</v>
      </c>
      <c r="L937">
        <v>3</v>
      </c>
      <c r="M937" t="s">
        <v>114</v>
      </c>
      <c r="N937">
        <v>39</v>
      </c>
      <c r="O937" t="s">
        <v>24</v>
      </c>
      <c r="P937" t="s">
        <v>48</v>
      </c>
      <c r="Q937" t="s">
        <v>49</v>
      </c>
      <c r="R937" s="7">
        <v>4.25</v>
      </c>
      <c r="S937" s="7">
        <v>4.25</v>
      </c>
      <c r="T937" t="s">
        <v>125</v>
      </c>
    </row>
    <row r="938" spans="1:20" x14ac:dyDescent="0.3">
      <c r="A938">
        <v>937</v>
      </c>
      <c r="B938" s="1">
        <v>44928</v>
      </c>
      <c r="C938">
        <v>2023</v>
      </c>
      <c r="D938">
        <v>1</v>
      </c>
      <c r="E938" t="s">
        <v>20</v>
      </c>
      <c r="F938">
        <v>2</v>
      </c>
      <c r="G938" t="s">
        <v>124</v>
      </c>
      <c r="H938" s="2">
        <v>46203.755810185183</v>
      </c>
      <c r="I938">
        <v>16</v>
      </c>
      <c r="J938" t="s">
        <v>120</v>
      </c>
      <c r="K938" s="8">
        <v>1</v>
      </c>
      <c r="L938">
        <v>5</v>
      </c>
      <c r="M938" t="s">
        <v>23</v>
      </c>
      <c r="N938">
        <v>54</v>
      </c>
      <c r="O938" t="s">
        <v>30</v>
      </c>
      <c r="P938" t="s">
        <v>31</v>
      </c>
      <c r="Q938" t="s">
        <v>87</v>
      </c>
      <c r="R938" s="7">
        <v>2.5</v>
      </c>
      <c r="S938" s="7">
        <v>2.5</v>
      </c>
      <c r="T938" t="s">
        <v>125</v>
      </c>
    </row>
    <row r="939" spans="1:20" x14ac:dyDescent="0.3">
      <c r="A939">
        <v>938</v>
      </c>
      <c r="B939" s="1">
        <v>44928</v>
      </c>
      <c r="C939">
        <v>2023</v>
      </c>
      <c r="D939">
        <v>1</v>
      </c>
      <c r="E939" t="s">
        <v>20</v>
      </c>
      <c r="F939">
        <v>2</v>
      </c>
      <c r="G939" t="s">
        <v>124</v>
      </c>
      <c r="H939" s="2">
        <v>46203.75644675926</v>
      </c>
      <c r="I939">
        <v>16</v>
      </c>
      <c r="J939" t="s">
        <v>120</v>
      </c>
      <c r="K939" s="8">
        <v>1</v>
      </c>
      <c r="L939">
        <v>3</v>
      </c>
      <c r="M939" t="s">
        <v>114</v>
      </c>
      <c r="N939">
        <v>39</v>
      </c>
      <c r="O939" t="s">
        <v>24</v>
      </c>
      <c r="P939" t="s">
        <v>48</v>
      </c>
      <c r="Q939" t="s">
        <v>49</v>
      </c>
      <c r="R939" s="7">
        <v>4.25</v>
      </c>
      <c r="S939" s="7">
        <v>4.25</v>
      </c>
      <c r="T939" t="s">
        <v>125</v>
      </c>
    </row>
    <row r="940" spans="1:20" x14ac:dyDescent="0.3">
      <c r="A940">
        <v>939</v>
      </c>
      <c r="B940" s="1">
        <v>44928</v>
      </c>
      <c r="C940">
        <v>2023</v>
      </c>
      <c r="D940">
        <v>1</v>
      </c>
      <c r="E940" t="s">
        <v>20</v>
      </c>
      <c r="F940">
        <v>2</v>
      </c>
      <c r="G940" t="s">
        <v>124</v>
      </c>
      <c r="H940" s="2">
        <v>46203.75677083333</v>
      </c>
      <c r="I940">
        <v>16</v>
      </c>
      <c r="J940" t="s">
        <v>120</v>
      </c>
      <c r="K940" s="8">
        <v>2</v>
      </c>
      <c r="L940">
        <v>3</v>
      </c>
      <c r="M940" t="s">
        <v>114</v>
      </c>
      <c r="N940">
        <v>45</v>
      </c>
      <c r="O940" t="s">
        <v>30</v>
      </c>
      <c r="P940" t="s">
        <v>65</v>
      </c>
      <c r="Q940" t="s">
        <v>77</v>
      </c>
      <c r="R940" s="7">
        <v>3</v>
      </c>
      <c r="S940" s="7">
        <v>6</v>
      </c>
      <c r="T940" t="s">
        <v>125</v>
      </c>
    </row>
    <row r="941" spans="1:20" x14ac:dyDescent="0.3">
      <c r="A941">
        <v>940</v>
      </c>
      <c r="B941" s="1">
        <v>44928</v>
      </c>
      <c r="C941">
        <v>2023</v>
      </c>
      <c r="D941">
        <v>1</v>
      </c>
      <c r="E941" t="s">
        <v>20</v>
      </c>
      <c r="F941">
        <v>2</v>
      </c>
      <c r="G941" t="s">
        <v>124</v>
      </c>
      <c r="H941" s="2">
        <v>46203.757685185185</v>
      </c>
      <c r="I941">
        <v>16</v>
      </c>
      <c r="J941" t="s">
        <v>120</v>
      </c>
      <c r="K941" s="8">
        <v>1</v>
      </c>
      <c r="L941">
        <v>3</v>
      </c>
      <c r="M941" t="s">
        <v>114</v>
      </c>
      <c r="N941">
        <v>40</v>
      </c>
      <c r="O941" t="s">
        <v>24</v>
      </c>
      <c r="P941" t="s">
        <v>48</v>
      </c>
      <c r="Q941" t="s">
        <v>74</v>
      </c>
      <c r="R941" s="7">
        <v>3.75</v>
      </c>
      <c r="S941" s="7">
        <v>3.75</v>
      </c>
      <c r="T941" t="s">
        <v>125</v>
      </c>
    </row>
    <row r="942" spans="1:20" x14ac:dyDescent="0.3">
      <c r="A942">
        <v>941</v>
      </c>
      <c r="B942" s="1">
        <v>44928</v>
      </c>
      <c r="C942">
        <v>2023</v>
      </c>
      <c r="D942">
        <v>1</v>
      </c>
      <c r="E942" t="s">
        <v>20</v>
      </c>
      <c r="F942">
        <v>2</v>
      </c>
      <c r="G942" t="s">
        <v>124</v>
      </c>
      <c r="H942" s="2">
        <v>46203.758298611108</v>
      </c>
      <c r="I942">
        <v>16</v>
      </c>
      <c r="J942" t="s">
        <v>120</v>
      </c>
      <c r="K942" s="8">
        <v>2</v>
      </c>
      <c r="L942">
        <v>8</v>
      </c>
      <c r="M942" t="s">
        <v>64</v>
      </c>
      <c r="N942">
        <v>26</v>
      </c>
      <c r="O942" t="s">
        <v>24</v>
      </c>
      <c r="P942" t="s">
        <v>82</v>
      </c>
      <c r="Q942" t="s">
        <v>83</v>
      </c>
      <c r="R942" s="7">
        <v>3</v>
      </c>
      <c r="S942" s="7">
        <v>6</v>
      </c>
      <c r="T942" t="s">
        <v>125</v>
      </c>
    </row>
    <row r="943" spans="1:20" x14ac:dyDescent="0.3">
      <c r="A943">
        <v>942</v>
      </c>
      <c r="B943" s="1">
        <v>44928</v>
      </c>
      <c r="C943">
        <v>2023</v>
      </c>
      <c r="D943">
        <v>1</v>
      </c>
      <c r="E943" t="s">
        <v>20</v>
      </c>
      <c r="F943">
        <v>2</v>
      </c>
      <c r="G943" t="s">
        <v>124</v>
      </c>
      <c r="H943" s="2">
        <v>46203.758344907408</v>
      </c>
      <c r="I943">
        <v>16</v>
      </c>
      <c r="J943" t="s">
        <v>120</v>
      </c>
      <c r="K943" s="8">
        <v>2</v>
      </c>
      <c r="L943">
        <v>8</v>
      </c>
      <c r="M943" t="s">
        <v>64</v>
      </c>
      <c r="N943">
        <v>47</v>
      </c>
      <c r="O943" t="s">
        <v>30</v>
      </c>
      <c r="P943" t="s">
        <v>60</v>
      </c>
      <c r="Q943" t="s">
        <v>61</v>
      </c>
      <c r="R943" s="7">
        <v>3</v>
      </c>
      <c r="S943" s="7">
        <v>6</v>
      </c>
      <c r="T943" t="s">
        <v>125</v>
      </c>
    </row>
    <row r="944" spans="1:20" x14ac:dyDescent="0.3">
      <c r="A944">
        <v>943</v>
      </c>
      <c r="B944" s="1">
        <v>44928</v>
      </c>
      <c r="C944">
        <v>2023</v>
      </c>
      <c r="D944">
        <v>1</v>
      </c>
      <c r="E944" t="s">
        <v>20</v>
      </c>
      <c r="F944">
        <v>2</v>
      </c>
      <c r="G944" t="s">
        <v>124</v>
      </c>
      <c r="H944" s="2">
        <v>46203.759826388887</v>
      </c>
      <c r="I944">
        <v>16</v>
      </c>
      <c r="J944" t="s">
        <v>120</v>
      </c>
      <c r="K944" s="8">
        <v>1</v>
      </c>
      <c r="L944">
        <v>5</v>
      </c>
      <c r="M944" t="s">
        <v>23</v>
      </c>
      <c r="N944">
        <v>30</v>
      </c>
      <c r="O944" t="s">
        <v>24</v>
      </c>
      <c r="P944" t="s">
        <v>25</v>
      </c>
      <c r="Q944" t="s">
        <v>119</v>
      </c>
      <c r="R944" s="7">
        <v>3</v>
      </c>
      <c r="S944" s="7">
        <v>3</v>
      </c>
      <c r="T944" t="s">
        <v>125</v>
      </c>
    </row>
    <row r="945" spans="1:20" x14ac:dyDescent="0.3">
      <c r="A945">
        <v>944</v>
      </c>
      <c r="B945" s="1">
        <v>44928</v>
      </c>
      <c r="C945">
        <v>2023</v>
      </c>
      <c r="D945">
        <v>1</v>
      </c>
      <c r="E945" t="s">
        <v>20</v>
      </c>
      <c r="F945">
        <v>2</v>
      </c>
      <c r="G945" t="s">
        <v>124</v>
      </c>
      <c r="H945" s="2">
        <v>46203.759826388887</v>
      </c>
      <c r="I945">
        <v>16</v>
      </c>
      <c r="J945" t="s">
        <v>120</v>
      </c>
      <c r="K945" s="8">
        <v>1</v>
      </c>
      <c r="L945">
        <v>5</v>
      </c>
      <c r="M945" t="s">
        <v>23</v>
      </c>
      <c r="N945">
        <v>78</v>
      </c>
      <c r="O945" t="s">
        <v>43</v>
      </c>
      <c r="P945" t="s">
        <v>44</v>
      </c>
      <c r="Q945" t="s">
        <v>91</v>
      </c>
      <c r="R945" s="7">
        <v>4.5</v>
      </c>
      <c r="S945" s="7">
        <v>4.5</v>
      </c>
      <c r="T945" t="s">
        <v>125</v>
      </c>
    </row>
    <row r="946" spans="1:20" x14ac:dyDescent="0.3">
      <c r="A946">
        <v>945</v>
      </c>
      <c r="B946" s="1">
        <v>44928</v>
      </c>
      <c r="C946">
        <v>2023</v>
      </c>
      <c r="D946">
        <v>1</v>
      </c>
      <c r="E946" t="s">
        <v>20</v>
      </c>
      <c r="F946">
        <v>2</v>
      </c>
      <c r="G946" t="s">
        <v>124</v>
      </c>
      <c r="H946" s="2">
        <v>46203.762673611112</v>
      </c>
      <c r="I946">
        <v>16</v>
      </c>
      <c r="J946" t="s">
        <v>120</v>
      </c>
      <c r="K946" s="8">
        <v>2</v>
      </c>
      <c r="L946">
        <v>3</v>
      </c>
      <c r="M946" t="s">
        <v>114</v>
      </c>
      <c r="N946">
        <v>53</v>
      </c>
      <c r="O946" t="s">
        <v>30</v>
      </c>
      <c r="P946" t="s">
        <v>31</v>
      </c>
      <c r="Q946" t="s">
        <v>104</v>
      </c>
      <c r="R946" s="7">
        <v>3</v>
      </c>
      <c r="S946" s="7">
        <v>6</v>
      </c>
      <c r="T946" t="s">
        <v>125</v>
      </c>
    </row>
    <row r="947" spans="1:20" x14ac:dyDescent="0.3">
      <c r="A947">
        <v>946</v>
      </c>
      <c r="B947" s="1">
        <v>44928</v>
      </c>
      <c r="C947">
        <v>2023</v>
      </c>
      <c r="D947">
        <v>1</v>
      </c>
      <c r="E947" t="s">
        <v>20</v>
      </c>
      <c r="F947">
        <v>2</v>
      </c>
      <c r="G947" t="s">
        <v>124</v>
      </c>
      <c r="H947" s="2">
        <v>46203.76357638889</v>
      </c>
      <c r="I947">
        <v>16</v>
      </c>
      <c r="J947" t="s">
        <v>120</v>
      </c>
      <c r="K947" s="8">
        <v>1</v>
      </c>
      <c r="L947">
        <v>3</v>
      </c>
      <c r="M947" t="s">
        <v>114</v>
      </c>
      <c r="N947">
        <v>38</v>
      </c>
      <c r="O947" t="s">
        <v>24</v>
      </c>
      <c r="P947" t="s">
        <v>48</v>
      </c>
      <c r="Q947" t="s">
        <v>81</v>
      </c>
      <c r="R947" s="7">
        <v>3.75</v>
      </c>
      <c r="S947" s="7">
        <v>3.75</v>
      </c>
      <c r="T947" t="s">
        <v>125</v>
      </c>
    </row>
    <row r="948" spans="1:20" x14ac:dyDescent="0.3">
      <c r="A948">
        <v>947</v>
      </c>
      <c r="B948" s="1">
        <v>44928</v>
      </c>
      <c r="C948">
        <v>2023</v>
      </c>
      <c r="D948">
        <v>1</v>
      </c>
      <c r="E948" t="s">
        <v>20</v>
      </c>
      <c r="F948">
        <v>2</v>
      </c>
      <c r="G948" t="s">
        <v>124</v>
      </c>
      <c r="H948" s="2">
        <v>46203.763749999998</v>
      </c>
      <c r="I948">
        <v>16</v>
      </c>
      <c r="J948" t="s">
        <v>120</v>
      </c>
      <c r="K948" s="8">
        <v>2</v>
      </c>
      <c r="L948">
        <v>5</v>
      </c>
      <c r="M948" t="s">
        <v>23</v>
      </c>
      <c r="N948">
        <v>60</v>
      </c>
      <c r="O948" t="s">
        <v>35</v>
      </c>
      <c r="P948" t="s">
        <v>36</v>
      </c>
      <c r="Q948" t="s">
        <v>90</v>
      </c>
      <c r="R948" s="7">
        <v>3.75</v>
      </c>
      <c r="S948" s="7">
        <v>7.5</v>
      </c>
      <c r="T948" t="s">
        <v>125</v>
      </c>
    </row>
    <row r="949" spans="1:20" x14ac:dyDescent="0.3">
      <c r="A949">
        <v>948</v>
      </c>
      <c r="B949" s="1">
        <v>44928</v>
      </c>
      <c r="C949">
        <v>2023</v>
      </c>
      <c r="D949">
        <v>1</v>
      </c>
      <c r="E949" t="s">
        <v>20</v>
      </c>
      <c r="F949">
        <v>2</v>
      </c>
      <c r="G949" t="s">
        <v>124</v>
      </c>
      <c r="H949" s="2">
        <v>46203.763749999998</v>
      </c>
      <c r="I949">
        <v>16</v>
      </c>
      <c r="J949" t="s">
        <v>120</v>
      </c>
      <c r="K949" s="8">
        <v>1</v>
      </c>
      <c r="L949">
        <v>5</v>
      </c>
      <c r="M949" t="s">
        <v>23</v>
      </c>
      <c r="N949">
        <v>78</v>
      </c>
      <c r="O949" t="s">
        <v>43</v>
      </c>
      <c r="P949" t="s">
        <v>44</v>
      </c>
      <c r="Q949" t="s">
        <v>91</v>
      </c>
      <c r="R949" s="7">
        <v>4.5</v>
      </c>
      <c r="S949" s="7">
        <v>4.5</v>
      </c>
      <c r="T949" t="s">
        <v>125</v>
      </c>
    </row>
    <row r="950" spans="1:20" x14ac:dyDescent="0.3">
      <c r="A950">
        <v>949</v>
      </c>
      <c r="B950" s="1">
        <v>44928</v>
      </c>
      <c r="C950">
        <v>2023</v>
      </c>
      <c r="D950">
        <v>1</v>
      </c>
      <c r="E950" t="s">
        <v>20</v>
      </c>
      <c r="F950">
        <v>2</v>
      </c>
      <c r="G950" t="s">
        <v>124</v>
      </c>
      <c r="H950" s="2">
        <v>46203.765567129631</v>
      </c>
      <c r="I950">
        <v>16</v>
      </c>
      <c r="J950" t="s">
        <v>120</v>
      </c>
      <c r="K950" s="8">
        <v>1</v>
      </c>
      <c r="L950">
        <v>3</v>
      </c>
      <c r="M950" t="s">
        <v>114</v>
      </c>
      <c r="N950">
        <v>48</v>
      </c>
      <c r="O950" t="s">
        <v>30</v>
      </c>
      <c r="P950" t="s">
        <v>57</v>
      </c>
      <c r="Q950" t="s">
        <v>93</v>
      </c>
      <c r="R950" s="7">
        <v>2.5</v>
      </c>
      <c r="S950" s="7">
        <v>2.5</v>
      </c>
      <c r="T950" t="s">
        <v>125</v>
      </c>
    </row>
    <row r="951" spans="1:20" x14ac:dyDescent="0.3">
      <c r="A951">
        <v>950</v>
      </c>
      <c r="B951" s="1">
        <v>44928</v>
      </c>
      <c r="C951">
        <v>2023</v>
      </c>
      <c r="D951">
        <v>1</v>
      </c>
      <c r="E951" t="s">
        <v>20</v>
      </c>
      <c r="F951">
        <v>2</v>
      </c>
      <c r="G951" t="s">
        <v>124</v>
      </c>
      <c r="H951" s="2">
        <v>46203.765625</v>
      </c>
      <c r="I951">
        <v>16</v>
      </c>
      <c r="J951" t="s">
        <v>120</v>
      </c>
      <c r="K951" s="8">
        <v>2</v>
      </c>
      <c r="L951">
        <v>3</v>
      </c>
      <c r="M951" t="s">
        <v>114</v>
      </c>
      <c r="N951">
        <v>27</v>
      </c>
      <c r="O951" t="s">
        <v>24</v>
      </c>
      <c r="P951" t="s">
        <v>82</v>
      </c>
      <c r="Q951" t="s">
        <v>84</v>
      </c>
      <c r="R951" s="7">
        <v>3.5</v>
      </c>
      <c r="S951" s="7">
        <v>7</v>
      </c>
      <c r="T951" t="s">
        <v>125</v>
      </c>
    </row>
    <row r="952" spans="1:20" x14ac:dyDescent="0.3">
      <c r="A952">
        <v>951</v>
      </c>
      <c r="B952" s="1">
        <v>44928</v>
      </c>
      <c r="C952">
        <v>2023</v>
      </c>
      <c r="D952">
        <v>1</v>
      </c>
      <c r="E952" t="s">
        <v>20</v>
      </c>
      <c r="F952">
        <v>2</v>
      </c>
      <c r="G952" t="s">
        <v>124</v>
      </c>
      <c r="H952" s="2">
        <v>46203.766550925924</v>
      </c>
      <c r="I952">
        <v>16</v>
      </c>
      <c r="J952" t="s">
        <v>120</v>
      </c>
      <c r="K952" s="8">
        <v>1</v>
      </c>
      <c r="L952">
        <v>5</v>
      </c>
      <c r="M952" t="s">
        <v>23</v>
      </c>
      <c r="N952">
        <v>26</v>
      </c>
      <c r="O952" t="s">
        <v>24</v>
      </c>
      <c r="P952" t="s">
        <v>82</v>
      </c>
      <c r="Q952" t="s">
        <v>83</v>
      </c>
      <c r="R952" s="7">
        <v>3</v>
      </c>
      <c r="S952" s="7">
        <v>3</v>
      </c>
      <c r="T952" t="s">
        <v>125</v>
      </c>
    </row>
    <row r="953" spans="1:20" x14ac:dyDescent="0.3">
      <c r="A953">
        <v>952</v>
      </c>
      <c r="B953" s="1">
        <v>44928</v>
      </c>
      <c r="C953">
        <v>2023</v>
      </c>
      <c r="D953">
        <v>1</v>
      </c>
      <c r="E953" t="s">
        <v>20</v>
      </c>
      <c r="F953">
        <v>2</v>
      </c>
      <c r="G953" t="s">
        <v>124</v>
      </c>
      <c r="H953" s="2">
        <v>46203.768217592595</v>
      </c>
      <c r="I953">
        <v>16</v>
      </c>
      <c r="J953" t="s">
        <v>120</v>
      </c>
      <c r="K953" s="8">
        <v>1</v>
      </c>
      <c r="L953">
        <v>3</v>
      </c>
      <c r="M953" t="s">
        <v>114</v>
      </c>
      <c r="N953">
        <v>55</v>
      </c>
      <c r="O953" t="s">
        <v>30</v>
      </c>
      <c r="P953" t="s">
        <v>31</v>
      </c>
      <c r="Q953" t="s">
        <v>88</v>
      </c>
      <c r="R953" s="7">
        <v>4</v>
      </c>
      <c r="S953" s="7">
        <v>4</v>
      </c>
      <c r="T953" t="s">
        <v>125</v>
      </c>
    </row>
    <row r="954" spans="1:20" x14ac:dyDescent="0.3">
      <c r="A954">
        <v>953</v>
      </c>
      <c r="B954" s="1">
        <v>44928</v>
      </c>
      <c r="C954">
        <v>2023</v>
      </c>
      <c r="D954">
        <v>1</v>
      </c>
      <c r="E954" t="s">
        <v>20</v>
      </c>
      <c r="F954">
        <v>2</v>
      </c>
      <c r="G954" t="s">
        <v>124</v>
      </c>
      <c r="H954" s="2">
        <v>46203.768495370372</v>
      </c>
      <c r="I954">
        <v>16</v>
      </c>
      <c r="J954" t="s">
        <v>120</v>
      </c>
      <c r="K954" s="8">
        <v>1</v>
      </c>
      <c r="L954">
        <v>3</v>
      </c>
      <c r="M954" t="s">
        <v>114</v>
      </c>
      <c r="N954">
        <v>25</v>
      </c>
      <c r="O954" t="s">
        <v>24</v>
      </c>
      <c r="P954" t="s">
        <v>82</v>
      </c>
      <c r="Q954" t="s">
        <v>96</v>
      </c>
      <c r="R954" s="7">
        <v>2.2000000000000002</v>
      </c>
      <c r="S954" s="7">
        <v>2.2000000000000002</v>
      </c>
      <c r="T954" t="s">
        <v>125</v>
      </c>
    </row>
    <row r="955" spans="1:20" x14ac:dyDescent="0.3">
      <c r="A955">
        <v>954</v>
      </c>
      <c r="B955" s="1">
        <v>44928</v>
      </c>
      <c r="C955">
        <v>2023</v>
      </c>
      <c r="D955">
        <v>1</v>
      </c>
      <c r="E955" t="s">
        <v>20</v>
      </c>
      <c r="F955">
        <v>2</v>
      </c>
      <c r="G955" t="s">
        <v>124</v>
      </c>
      <c r="H955" s="2">
        <v>46203.768495370372</v>
      </c>
      <c r="I955">
        <v>16</v>
      </c>
      <c r="J955" t="s">
        <v>120</v>
      </c>
      <c r="K955" s="8">
        <v>1</v>
      </c>
      <c r="L955">
        <v>3</v>
      </c>
      <c r="M955" t="s">
        <v>114</v>
      </c>
      <c r="N955">
        <v>73</v>
      </c>
      <c r="O955" t="s">
        <v>43</v>
      </c>
      <c r="P955" t="s">
        <v>78</v>
      </c>
      <c r="Q955" t="s">
        <v>113</v>
      </c>
      <c r="R955" s="7">
        <v>3.75</v>
      </c>
      <c r="S955" s="7">
        <v>3.75</v>
      </c>
      <c r="T955" t="s">
        <v>125</v>
      </c>
    </row>
    <row r="956" spans="1:20" x14ac:dyDescent="0.3">
      <c r="A956">
        <v>955</v>
      </c>
      <c r="B956" s="1">
        <v>44928</v>
      </c>
      <c r="C956">
        <v>2023</v>
      </c>
      <c r="D956">
        <v>1</v>
      </c>
      <c r="E956" t="s">
        <v>20</v>
      </c>
      <c r="F956">
        <v>2</v>
      </c>
      <c r="G956" t="s">
        <v>124</v>
      </c>
      <c r="H956" s="2">
        <v>46203.768622685187</v>
      </c>
      <c r="I956">
        <v>16</v>
      </c>
      <c r="J956" t="s">
        <v>120</v>
      </c>
      <c r="K956" s="8">
        <v>1</v>
      </c>
      <c r="L956">
        <v>8</v>
      </c>
      <c r="M956" t="s">
        <v>64</v>
      </c>
      <c r="N956">
        <v>54</v>
      </c>
      <c r="O956" t="s">
        <v>30</v>
      </c>
      <c r="P956" t="s">
        <v>31</v>
      </c>
      <c r="Q956" t="s">
        <v>87</v>
      </c>
      <c r="R956" s="7">
        <v>2.5</v>
      </c>
      <c r="S956" s="7">
        <v>2.5</v>
      </c>
      <c r="T956" t="s">
        <v>125</v>
      </c>
    </row>
    <row r="957" spans="1:20" x14ac:dyDescent="0.3">
      <c r="A957">
        <v>956</v>
      </c>
      <c r="B957" s="1">
        <v>44928</v>
      </c>
      <c r="C957">
        <v>2023</v>
      </c>
      <c r="D957">
        <v>1</v>
      </c>
      <c r="E957" t="s">
        <v>20</v>
      </c>
      <c r="F957">
        <v>2</v>
      </c>
      <c r="G957" t="s">
        <v>124</v>
      </c>
      <c r="H957" s="2">
        <v>46203.769745370373</v>
      </c>
      <c r="I957">
        <v>16</v>
      </c>
      <c r="J957" t="s">
        <v>120</v>
      </c>
      <c r="K957" s="8">
        <v>1</v>
      </c>
      <c r="L957">
        <v>8</v>
      </c>
      <c r="M957" t="s">
        <v>64</v>
      </c>
      <c r="N957">
        <v>36</v>
      </c>
      <c r="O957" t="s">
        <v>24</v>
      </c>
      <c r="P957" t="s">
        <v>99</v>
      </c>
      <c r="Q957" t="s">
        <v>102</v>
      </c>
      <c r="R957" s="7">
        <v>3.75</v>
      </c>
      <c r="S957" s="7">
        <v>3.75</v>
      </c>
      <c r="T957" t="s">
        <v>125</v>
      </c>
    </row>
    <row r="958" spans="1:20" x14ac:dyDescent="0.3">
      <c r="A958">
        <v>957</v>
      </c>
      <c r="B958" s="1">
        <v>44928</v>
      </c>
      <c r="C958">
        <v>2023</v>
      </c>
      <c r="D958">
        <v>1</v>
      </c>
      <c r="E958" t="s">
        <v>20</v>
      </c>
      <c r="F958">
        <v>2</v>
      </c>
      <c r="G958" t="s">
        <v>124</v>
      </c>
      <c r="H958" s="2">
        <v>46203.770891203705</v>
      </c>
      <c r="I958">
        <v>16</v>
      </c>
      <c r="J958" t="s">
        <v>120</v>
      </c>
      <c r="K958" s="8">
        <v>1</v>
      </c>
      <c r="L958">
        <v>5</v>
      </c>
      <c r="M958" t="s">
        <v>23</v>
      </c>
      <c r="N958">
        <v>23</v>
      </c>
      <c r="O958" t="s">
        <v>24</v>
      </c>
      <c r="P958" t="s">
        <v>40</v>
      </c>
      <c r="Q958" t="s">
        <v>94</v>
      </c>
      <c r="R958" s="7">
        <v>2.5</v>
      </c>
      <c r="S958" s="7">
        <v>2.5</v>
      </c>
      <c r="T958" t="s">
        <v>125</v>
      </c>
    </row>
    <row r="959" spans="1:20" x14ac:dyDescent="0.3">
      <c r="A959">
        <v>958</v>
      </c>
      <c r="B959" s="1">
        <v>44928</v>
      </c>
      <c r="C959">
        <v>2023</v>
      </c>
      <c r="D959">
        <v>1</v>
      </c>
      <c r="E959" t="s">
        <v>20</v>
      </c>
      <c r="F959">
        <v>2</v>
      </c>
      <c r="G959" t="s">
        <v>124</v>
      </c>
      <c r="H959" s="2">
        <v>46203.770914351851</v>
      </c>
      <c r="I959">
        <v>16</v>
      </c>
      <c r="J959" t="s">
        <v>120</v>
      </c>
      <c r="K959" s="8">
        <v>1</v>
      </c>
      <c r="L959">
        <v>3</v>
      </c>
      <c r="M959" t="s">
        <v>114</v>
      </c>
      <c r="N959">
        <v>24</v>
      </c>
      <c r="O959" t="s">
        <v>24</v>
      </c>
      <c r="P959" t="s">
        <v>40</v>
      </c>
      <c r="Q959" t="s">
        <v>89</v>
      </c>
      <c r="R959" s="7">
        <v>3</v>
      </c>
      <c r="S959" s="7">
        <v>3</v>
      </c>
      <c r="T959" t="s">
        <v>125</v>
      </c>
    </row>
    <row r="960" spans="1:20" x14ac:dyDescent="0.3">
      <c r="A960">
        <v>959</v>
      </c>
      <c r="B960" s="1">
        <v>44928</v>
      </c>
      <c r="C960">
        <v>2023</v>
      </c>
      <c r="D960">
        <v>1</v>
      </c>
      <c r="E960" t="s">
        <v>20</v>
      </c>
      <c r="F960">
        <v>2</v>
      </c>
      <c r="G960" t="s">
        <v>124</v>
      </c>
      <c r="H960" s="2">
        <v>46203.770914351851</v>
      </c>
      <c r="I960">
        <v>16</v>
      </c>
      <c r="J960" t="s">
        <v>120</v>
      </c>
      <c r="K960" s="8">
        <v>1</v>
      </c>
      <c r="L960">
        <v>3</v>
      </c>
      <c r="M960" t="s">
        <v>114</v>
      </c>
      <c r="N960">
        <v>74</v>
      </c>
      <c r="O960" t="s">
        <v>43</v>
      </c>
      <c r="P960" t="s">
        <v>71</v>
      </c>
      <c r="Q960" t="s">
        <v>103</v>
      </c>
      <c r="R960" s="7">
        <v>3.5</v>
      </c>
      <c r="S960" s="7">
        <v>3.5</v>
      </c>
      <c r="T960" t="s">
        <v>125</v>
      </c>
    </row>
    <row r="961" spans="1:20" x14ac:dyDescent="0.3">
      <c r="A961">
        <v>960</v>
      </c>
      <c r="B961" s="1">
        <v>44928</v>
      </c>
      <c r="C961">
        <v>2023</v>
      </c>
      <c r="D961">
        <v>1</v>
      </c>
      <c r="E961" t="s">
        <v>20</v>
      </c>
      <c r="F961">
        <v>2</v>
      </c>
      <c r="G961" t="s">
        <v>124</v>
      </c>
      <c r="H961" s="2">
        <v>46203.771261574075</v>
      </c>
      <c r="I961">
        <v>16</v>
      </c>
      <c r="J961" t="s">
        <v>120</v>
      </c>
      <c r="K961" s="8">
        <v>2</v>
      </c>
      <c r="L961">
        <v>8</v>
      </c>
      <c r="M961" t="s">
        <v>64</v>
      </c>
      <c r="N961">
        <v>53</v>
      </c>
      <c r="O961" t="s">
        <v>30</v>
      </c>
      <c r="P961" t="s">
        <v>31</v>
      </c>
      <c r="Q961" t="s">
        <v>104</v>
      </c>
      <c r="R961" s="7">
        <v>3</v>
      </c>
      <c r="S961" s="7">
        <v>6</v>
      </c>
      <c r="T961" t="s">
        <v>125</v>
      </c>
    </row>
    <row r="962" spans="1:20" x14ac:dyDescent="0.3">
      <c r="A962">
        <v>961</v>
      </c>
      <c r="B962" s="1">
        <v>44928</v>
      </c>
      <c r="C962">
        <v>2023</v>
      </c>
      <c r="D962">
        <v>1</v>
      </c>
      <c r="E962" t="s">
        <v>20</v>
      </c>
      <c r="F962">
        <v>2</v>
      </c>
      <c r="G962" t="s">
        <v>124</v>
      </c>
      <c r="H962" s="2">
        <v>46203.77175925926</v>
      </c>
      <c r="I962">
        <v>16</v>
      </c>
      <c r="J962" t="s">
        <v>120</v>
      </c>
      <c r="K962" s="8">
        <v>2</v>
      </c>
      <c r="L962">
        <v>3</v>
      </c>
      <c r="M962" t="s">
        <v>114</v>
      </c>
      <c r="N962">
        <v>36</v>
      </c>
      <c r="O962" t="s">
        <v>24</v>
      </c>
      <c r="P962" t="s">
        <v>99</v>
      </c>
      <c r="Q962" t="s">
        <v>102</v>
      </c>
      <c r="R962" s="7">
        <v>3.75</v>
      </c>
      <c r="S962" s="7">
        <v>7.5</v>
      </c>
      <c r="T962" t="s">
        <v>125</v>
      </c>
    </row>
    <row r="963" spans="1:20" x14ac:dyDescent="0.3">
      <c r="A963">
        <v>962</v>
      </c>
      <c r="B963" s="1">
        <v>44928</v>
      </c>
      <c r="C963">
        <v>2023</v>
      </c>
      <c r="D963">
        <v>1</v>
      </c>
      <c r="E963" t="s">
        <v>20</v>
      </c>
      <c r="F963">
        <v>2</v>
      </c>
      <c r="G963" t="s">
        <v>124</v>
      </c>
      <c r="H963" s="2">
        <v>46203.772083333337</v>
      </c>
      <c r="I963">
        <v>16</v>
      </c>
      <c r="J963" t="s">
        <v>120</v>
      </c>
      <c r="K963" s="8">
        <v>1</v>
      </c>
      <c r="L963">
        <v>8</v>
      </c>
      <c r="M963" t="s">
        <v>64</v>
      </c>
      <c r="N963">
        <v>52</v>
      </c>
      <c r="O963" t="s">
        <v>30</v>
      </c>
      <c r="P963" t="s">
        <v>31</v>
      </c>
      <c r="Q963" t="s">
        <v>118</v>
      </c>
      <c r="R963" s="7">
        <v>2.5</v>
      </c>
      <c r="S963" s="7">
        <v>2.5</v>
      </c>
      <c r="T963" t="s">
        <v>125</v>
      </c>
    </row>
    <row r="964" spans="1:20" x14ac:dyDescent="0.3">
      <c r="A964">
        <v>963</v>
      </c>
      <c r="B964" s="1">
        <v>44928</v>
      </c>
      <c r="C964">
        <v>2023</v>
      </c>
      <c r="D964">
        <v>1</v>
      </c>
      <c r="E964" t="s">
        <v>20</v>
      </c>
      <c r="F964">
        <v>2</v>
      </c>
      <c r="G964" t="s">
        <v>124</v>
      </c>
      <c r="H964" s="2">
        <v>46203.77238425926</v>
      </c>
      <c r="I964">
        <v>16</v>
      </c>
      <c r="J964" t="s">
        <v>120</v>
      </c>
      <c r="K964" s="8">
        <v>2</v>
      </c>
      <c r="L964">
        <v>3</v>
      </c>
      <c r="M964" t="s">
        <v>114</v>
      </c>
      <c r="N964">
        <v>52</v>
      </c>
      <c r="O964" t="s">
        <v>30</v>
      </c>
      <c r="P964" t="s">
        <v>31</v>
      </c>
      <c r="Q964" t="s">
        <v>118</v>
      </c>
      <c r="R964" s="7">
        <v>2.5</v>
      </c>
      <c r="S964" s="7">
        <v>5</v>
      </c>
      <c r="T964" t="s">
        <v>125</v>
      </c>
    </row>
    <row r="965" spans="1:20" x14ac:dyDescent="0.3">
      <c r="A965">
        <v>964</v>
      </c>
      <c r="B965" s="1">
        <v>44928</v>
      </c>
      <c r="C965">
        <v>2023</v>
      </c>
      <c r="D965">
        <v>1</v>
      </c>
      <c r="E965" t="s">
        <v>20</v>
      </c>
      <c r="F965">
        <v>2</v>
      </c>
      <c r="G965" t="s">
        <v>124</v>
      </c>
      <c r="H965" s="2">
        <v>46203.772511574076</v>
      </c>
      <c r="I965">
        <v>16</v>
      </c>
      <c r="J965" t="s">
        <v>120</v>
      </c>
      <c r="K965" s="8">
        <v>2</v>
      </c>
      <c r="L965">
        <v>5</v>
      </c>
      <c r="M965" t="s">
        <v>23</v>
      </c>
      <c r="N965">
        <v>50</v>
      </c>
      <c r="O965" t="s">
        <v>30</v>
      </c>
      <c r="P965" t="s">
        <v>57</v>
      </c>
      <c r="Q965" t="s">
        <v>108</v>
      </c>
      <c r="R965" s="7">
        <v>2.5</v>
      </c>
      <c r="S965" s="7">
        <v>5</v>
      </c>
      <c r="T965" t="s">
        <v>125</v>
      </c>
    </row>
    <row r="966" spans="1:20" x14ac:dyDescent="0.3">
      <c r="A966">
        <v>965</v>
      </c>
      <c r="B966" s="1">
        <v>44928</v>
      </c>
      <c r="C966">
        <v>2023</v>
      </c>
      <c r="D966">
        <v>1</v>
      </c>
      <c r="E966" t="s">
        <v>20</v>
      </c>
      <c r="F966">
        <v>2</v>
      </c>
      <c r="G966" t="s">
        <v>124</v>
      </c>
      <c r="H966" s="2">
        <v>46203.773113425923</v>
      </c>
      <c r="I966">
        <v>16</v>
      </c>
      <c r="J966" t="s">
        <v>120</v>
      </c>
      <c r="K966" s="8">
        <v>1</v>
      </c>
      <c r="L966">
        <v>5</v>
      </c>
      <c r="M966" t="s">
        <v>23</v>
      </c>
      <c r="N966">
        <v>57</v>
      </c>
      <c r="O966" t="s">
        <v>30</v>
      </c>
      <c r="P966" t="s">
        <v>31</v>
      </c>
      <c r="Q966" t="s">
        <v>32</v>
      </c>
      <c r="R966" s="7">
        <v>3.1</v>
      </c>
      <c r="S966" s="7">
        <v>3.1</v>
      </c>
      <c r="T966" t="s">
        <v>125</v>
      </c>
    </row>
    <row r="967" spans="1:20" x14ac:dyDescent="0.3">
      <c r="A967">
        <v>966</v>
      </c>
      <c r="B967" s="1">
        <v>44928</v>
      </c>
      <c r="C967">
        <v>2023</v>
      </c>
      <c r="D967">
        <v>1</v>
      </c>
      <c r="E967" t="s">
        <v>20</v>
      </c>
      <c r="F967">
        <v>2</v>
      </c>
      <c r="G967" t="s">
        <v>124</v>
      </c>
      <c r="H967" s="2">
        <v>46203.773113425923</v>
      </c>
      <c r="I967">
        <v>16</v>
      </c>
      <c r="J967" t="s">
        <v>120</v>
      </c>
      <c r="K967" s="8">
        <v>1</v>
      </c>
      <c r="L967">
        <v>5</v>
      </c>
      <c r="M967" t="s">
        <v>23</v>
      </c>
      <c r="N967">
        <v>75</v>
      </c>
      <c r="O967" t="s">
        <v>43</v>
      </c>
      <c r="P967" t="s">
        <v>78</v>
      </c>
      <c r="Q967" t="s">
        <v>115</v>
      </c>
      <c r="R967" s="7">
        <v>3.5</v>
      </c>
      <c r="S967" s="7">
        <v>3.5</v>
      </c>
      <c r="T967" t="s">
        <v>125</v>
      </c>
    </row>
    <row r="968" spans="1:20" x14ac:dyDescent="0.3">
      <c r="A968">
        <v>967</v>
      </c>
      <c r="B968" s="1">
        <v>44928</v>
      </c>
      <c r="C968">
        <v>2023</v>
      </c>
      <c r="D968">
        <v>1</v>
      </c>
      <c r="E968" t="s">
        <v>20</v>
      </c>
      <c r="F968">
        <v>2</v>
      </c>
      <c r="G968" t="s">
        <v>124</v>
      </c>
      <c r="H968" s="2">
        <v>46203.774189814816</v>
      </c>
      <c r="I968">
        <v>16</v>
      </c>
      <c r="J968" t="s">
        <v>120</v>
      </c>
      <c r="K968" s="8">
        <v>1</v>
      </c>
      <c r="L968">
        <v>5</v>
      </c>
      <c r="M968" t="s">
        <v>23</v>
      </c>
      <c r="N968">
        <v>50</v>
      </c>
      <c r="O968" t="s">
        <v>30</v>
      </c>
      <c r="P968" t="s">
        <v>57</v>
      </c>
      <c r="Q968" t="s">
        <v>108</v>
      </c>
      <c r="R968" s="7">
        <v>2.5</v>
      </c>
      <c r="S968" s="7">
        <v>2.5</v>
      </c>
      <c r="T968" t="s">
        <v>125</v>
      </c>
    </row>
    <row r="969" spans="1:20" x14ac:dyDescent="0.3">
      <c r="A969">
        <v>968</v>
      </c>
      <c r="B969" s="1">
        <v>44928</v>
      </c>
      <c r="C969">
        <v>2023</v>
      </c>
      <c r="D969">
        <v>1</v>
      </c>
      <c r="E969" t="s">
        <v>20</v>
      </c>
      <c r="F969">
        <v>2</v>
      </c>
      <c r="G969" t="s">
        <v>124</v>
      </c>
      <c r="H969" s="2">
        <v>46203.774560185186</v>
      </c>
      <c r="I969">
        <v>16</v>
      </c>
      <c r="J969" t="s">
        <v>120</v>
      </c>
      <c r="K969" s="8">
        <v>1</v>
      </c>
      <c r="L969">
        <v>3</v>
      </c>
      <c r="M969" t="s">
        <v>114</v>
      </c>
      <c r="N969">
        <v>31</v>
      </c>
      <c r="O969" t="s">
        <v>24</v>
      </c>
      <c r="P969" t="s">
        <v>25</v>
      </c>
      <c r="Q969" t="s">
        <v>116</v>
      </c>
      <c r="R969" s="7">
        <v>2.2000000000000002</v>
      </c>
      <c r="S969" s="7">
        <v>2.2000000000000002</v>
      </c>
      <c r="T969" t="s">
        <v>125</v>
      </c>
    </row>
    <row r="970" spans="1:20" x14ac:dyDescent="0.3">
      <c r="A970">
        <v>969</v>
      </c>
      <c r="B970" s="1">
        <v>44928</v>
      </c>
      <c r="C970">
        <v>2023</v>
      </c>
      <c r="D970">
        <v>1</v>
      </c>
      <c r="E970" t="s">
        <v>20</v>
      </c>
      <c r="F970">
        <v>2</v>
      </c>
      <c r="G970" t="s">
        <v>124</v>
      </c>
      <c r="H970" s="2">
        <v>46203.774560185186</v>
      </c>
      <c r="I970">
        <v>16</v>
      </c>
      <c r="J970" t="s">
        <v>120</v>
      </c>
      <c r="K970" s="8">
        <v>2</v>
      </c>
      <c r="L970">
        <v>3</v>
      </c>
      <c r="M970" t="s">
        <v>114</v>
      </c>
      <c r="N970">
        <v>54</v>
      </c>
      <c r="O970" t="s">
        <v>30</v>
      </c>
      <c r="P970" t="s">
        <v>31</v>
      </c>
      <c r="Q970" t="s">
        <v>87</v>
      </c>
      <c r="R970" s="7">
        <v>2.5</v>
      </c>
      <c r="S970" s="7">
        <v>5</v>
      </c>
      <c r="T970" t="s">
        <v>125</v>
      </c>
    </row>
    <row r="971" spans="1:20" x14ac:dyDescent="0.3">
      <c r="A971">
        <v>970</v>
      </c>
      <c r="B971" s="1">
        <v>44928</v>
      </c>
      <c r="C971">
        <v>2023</v>
      </c>
      <c r="D971">
        <v>1</v>
      </c>
      <c r="E971" t="s">
        <v>20</v>
      </c>
      <c r="F971">
        <v>2</v>
      </c>
      <c r="G971" t="s">
        <v>124</v>
      </c>
      <c r="H971" s="2">
        <v>46203.774930555555</v>
      </c>
      <c r="I971">
        <v>16</v>
      </c>
      <c r="J971" t="s">
        <v>120</v>
      </c>
      <c r="K971" s="8">
        <v>2</v>
      </c>
      <c r="L971">
        <v>8</v>
      </c>
      <c r="M971" t="s">
        <v>64</v>
      </c>
      <c r="N971">
        <v>49</v>
      </c>
      <c r="O971" t="s">
        <v>30</v>
      </c>
      <c r="P971" t="s">
        <v>57</v>
      </c>
      <c r="Q971" t="s">
        <v>117</v>
      </c>
      <c r="R971" s="7">
        <v>3</v>
      </c>
      <c r="S971" s="7">
        <v>6</v>
      </c>
      <c r="T971" t="s">
        <v>125</v>
      </c>
    </row>
    <row r="972" spans="1:20" x14ac:dyDescent="0.3">
      <c r="A972">
        <v>971</v>
      </c>
      <c r="B972" s="1">
        <v>44928</v>
      </c>
      <c r="C972">
        <v>2023</v>
      </c>
      <c r="D972">
        <v>1</v>
      </c>
      <c r="E972" t="s">
        <v>20</v>
      </c>
      <c r="F972">
        <v>2</v>
      </c>
      <c r="G972" t="s">
        <v>124</v>
      </c>
      <c r="H972" s="2">
        <v>46203.775439814817</v>
      </c>
      <c r="I972">
        <v>16</v>
      </c>
      <c r="J972" t="s">
        <v>120</v>
      </c>
      <c r="K972" s="8">
        <v>1</v>
      </c>
      <c r="L972">
        <v>3</v>
      </c>
      <c r="M972" t="s">
        <v>114</v>
      </c>
      <c r="N972">
        <v>32</v>
      </c>
      <c r="O972" t="s">
        <v>24</v>
      </c>
      <c r="P972" t="s">
        <v>25</v>
      </c>
      <c r="Q972" t="s">
        <v>26</v>
      </c>
      <c r="R972" s="7">
        <v>3</v>
      </c>
      <c r="S972" s="7">
        <v>3</v>
      </c>
      <c r="T972" t="s">
        <v>125</v>
      </c>
    </row>
    <row r="973" spans="1:20" x14ac:dyDescent="0.3">
      <c r="A973">
        <v>972</v>
      </c>
      <c r="B973" s="1">
        <v>44928</v>
      </c>
      <c r="C973">
        <v>2023</v>
      </c>
      <c r="D973">
        <v>1</v>
      </c>
      <c r="E973" t="s">
        <v>20</v>
      </c>
      <c r="F973">
        <v>2</v>
      </c>
      <c r="G973" t="s">
        <v>124</v>
      </c>
      <c r="H973" s="2">
        <v>46203.778773148151</v>
      </c>
      <c r="I973">
        <v>16</v>
      </c>
      <c r="J973" t="s">
        <v>120</v>
      </c>
      <c r="K973" s="8">
        <v>2</v>
      </c>
      <c r="L973">
        <v>5</v>
      </c>
      <c r="M973" t="s">
        <v>23</v>
      </c>
      <c r="N973">
        <v>22</v>
      </c>
      <c r="O973" t="s">
        <v>24</v>
      </c>
      <c r="P973" t="s">
        <v>40</v>
      </c>
      <c r="Q973" t="s">
        <v>41</v>
      </c>
      <c r="R973" s="7">
        <v>2</v>
      </c>
      <c r="S973" s="7">
        <v>4</v>
      </c>
      <c r="T973" t="s">
        <v>125</v>
      </c>
    </row>
    <row r="974" spans="1:20" x14ac:dyDescent="0.3">
      <c r="A974">
        <v>973</v>
      </c>
      <c r="B974" s="1">
        <v>44928</v>
      </c>
      <c r="C974">
        <v>2023</v>
      </c>
      <c r="D974">
        <v>1</v>
      </c>
      <c r="E974" t="s">
        <v>20</v>
      </c>
      <c r="F974">
        <v>2</v>
      </c>
      <c r="G974" t="s">
        <v>124</v>
      </c>
      <c r="H974" s="2">
        <v>46203.779293981483</v>
      </c>
      <c r="I974">
        <v>16</v>
      </c>
      <c r="J974" t="s">
        <v>120</v>
      </c>
      <c r="K974" s="8">
        <v>2</v>
      </c>
      <c r="L974">
        <v>3</v>
      </c>
      <c r="M974" t="s">
        <v>114</v>
      </c>
      <c r="N974">
        <v>51</v>
      </c>
      <c r="O974" t="s">
        <v>30</v>
      </c>
      <c r="P974" t="s">
        <v>57</v>
      </c>
      <c r="Q974" t="s">
        <v>58</v>
      </c>
      <c r="R974" s="7">
        <v>3</v>
      </c>
      <c r="S974" s="7">
        <v>6</v>
      </c>
      <c r="T974" t="s">
        <v>125</v>
      </c>
    </row>
    <row r="975" spans="1:20" x14ac:dyDescent="0.3">
      <c r="A975">
        <v>974</v>
      </c>
      <c r="B975" s="1">
        <v>44928</v>
      </c>
      <c r="C975">
        <v>2023</v>
      </c>
      <c r="D975">
        <v>1</v>
      </c>
      <c r="E975" t="s">
        <v>20</v>
      </c>
      <c r="F975">
        <v>2</v>
      </c>
      <c r="G975" t="s">
        <v>124</v>
      </c>
      <c r="H975" s="2">
        <v>46203.779548611114</v>
      </c>
      <c r="I975">
        <v>16</v>
      </c>
      <c r="J975" t="s">
        <v>120</v>
      </c>
      <c r="K975" s="8">
        <v>1</v>
      </c>
      <c r="L975">
        <v>5</v>
      </c>
      <c r="M975" t="s">
        <v>23</v>
      </c>
      <c r="N975">
        <v>34</v>
      </c>
      <c r="O975" t="s">
        <v>24</v>
      </c>
      <c r="P975" t="s">
        <v>99</v>
      </c>
      <c r="Q975" t="s">
        <v>100</v>
      </c>
      <c r="R975" s="7">
        <v>2.4500000000000002</v>
      </c>
      <c r="S975" s="7">
        <v>2.4500000000000002</v>
      </c>
      <c r="T975" t="s">
        <v>125</v>
      </c>
    </row>
    <row r="976" spans="1:20" x14ac:dyDescent="0.3">
      <c r="A976">
        <v>975</v>
      </c>
      <c r="B976" s="1">
        <v>44928</v>
      </c>
      <c r="C976">
        <v>2023</v>
      </c>
      <c r="D976">
        <v>1</v>
      </c>
      <c r="E976" t="s">
        <v>20</v>
      </c>
      <c r="F976">
        <v>2</v>
      </c>
      <c r="G976" t="s">
        <v>124</v>
      </c>
      <c r="H976" s="2">
        <v>46203.779548611114</v>
      </c>
      <c r="I976">
        <v>16</v>
      </c>
      <c r="J976" t="s">
        <v>120</v>
      </c>
      <c r="K976" s="8">
        <v>1</v>
      </c>
      <c r="L976">
        <v>5</v>
      </c>
      <c r="M976" t="s">
        <v>23</v>
      </c>
      <c r="N976">
        <v>77</v>
      </c>
      <c r="O976" t="s">
        <v>43</v>
      </c>
      <c r="P976" t="s">
        <v>44</v>
      </c>
      <c r="Q976" t="s">
        <v>45</v>
      </c>
      <c r="R976" s="7">
        <v>3</v>
      </c>
      <c r="S976" s="7">
        <v>3</v>
      </c>
      <c r="T976" t="s">
        <v>125</v>
      </c>
    </row>
    <row r="977" spans="1:20" x14ac:dyDescent="0.3">
      <c r="A977">
        <v>976</v>
      </c>
      <c r="B977" s="1">
        <v>44928</v>
      </c>
      <c r="C977">
        <v>2023</v>
      </c>
      <c r="D977">
        <v>1</v>
      </c>
      <c r="E977" t="s">
        <v>20</v>
      </c>
      <c r="F977">
        <v>2</v>
      </c>
      <c r="G977" t="s">
        <v>124</v>
      </c>
      <c r="H977" s="2">
        <v>46203.779907407406</v>
      </c>
      <c r="I977">
        <v>16</v>
      </c>
      <c r="J977" t="s">
        <v>120</v>
      </c>
      <c r="K977" s="8">
        <v>2</v>
      </c>
      <c r="L977">
        <v>3</v>
      </c>
      <c r="M977" t="s">
        <v>114</v>
      </c>
      <c r="N977">
        <v>34</v>
      </c>
      <c r="O977" t="s">
        <v>24</v>
      </c>
      <c r="P977" t="s">
        <v>99</v>
      </c>
      <c r="Q977" t="s">
        <v>100</v>
      </c>
      <c r="R977" s="7">
        <v>2.4500000000000002</v>
      </c>
      <c r="S977" s="7">
        <v>4.9000000000000004</v>
      </c>
      <c r="T977" t="s">
        <v>125</v>
      </c>
    </row>
    <row r="978" spans="1:20" x14ac:dyDescent="0.3">
      <c r="A978">
        <v>977</v>
      </c>
      <c r="B978" s="1">
        <v>44928</v>
      </c>
      <c r="C978">
        <v>2023</v>
      </c>
      <c r="D978">
        <v>1</v>
      </c>
      <c r="E978" t="s">
        <v>20</v>
      </c>
      <c r="F978">
        <v>2</v>
      </c>
      <c r="G978" t="s">
        <v>124</v>
      </c>
      <c r="H978" s="2">
        <v>46203.781192129631</v>
      </c>
      <c r="I978">
        <v>16</v>
      </c>
      <c r="J978" t="s">
        <v>120</v>
      </c>
      <c r="K978" s="8">
        <v>2</v>
      </c>
      <c r="L978">
        <v>5</v>
      </c>
      <c r="M978" t="s">
        <v>23</v>
      </c>
      <c r="N978">
        <v>32</v>
      </c>
      <c r="O978" t="s">
        <v>24</v>
      </c>
      <c r="P978" t="s">
        <v>25</v>
      </c>
      <c r="Q978" t="s">
        <v>26</v>
      </c>
      <c r="R978" s="7">
        <v>3</v>
      </c>
      <c r="S978" s="7">
        <v>6</v>
      </c>
      <c r="T978" t="s">
        <v>125</v>
      </c>
    </row>
    <row r="979" spans="1:20" x14ac:dyDescent="0.3">
      <c r="A979">
        <v>978</v>
      </c>
      <c r="B979" s="1">
        <v>44928</v>
      </c>
      <c r="C979">
        <v>2023</v>
      </c>
      <c r="D979">
        <v>1</v>
      </c>
      <c r="E979" t="s">
        <v>20</v>
      </c>
      <c r="F979">
        <v>2</v>
      </c>
      <c r="G979" t="s">
        <v>124</v>
      </c>
      <c r="H979" s="2">
        <v>46203.782650462963</v>
      </c>
      <c r="I979">
        <v>16</v>
      </c>
      <c r="J979" t="s">
        <v>120</v>
      </c>
      <c r="K979" s="8">
        <v>1</v>
      </c>
      <c r="L979">
        <v>3</v>
      </c>
      <c r="M979" t="s">
        <v>114</v>
      </c>
      <c r="N979">
        <v>48</v>
      </c>
      <c r="O979" t="s">
        <v>30</v>
      </c>
      <c r="P979" t="s">
        <v>57</v>
      </c>
      <c r="Q979" t="s">
        <v>93</v>
      </c>
      <c r="R979" s="7">
        <v>2.5</v>
      </c>
      <c r="S979" s="7">
        <v>2.5</v>
      </c>
      <c r="T979" t="s">
        <v>125</v>
      </c>
    </row>
    <row r="980" spans="1:20" x14ac:dyDescent="0.3">
      <c r="A980">
        <v>979</v>
      </c>
      <c r="B980" s="1">
        <v>44928</v>
      </c>
      <c r="C980">
        <v>2023</v>
      </c>
      <c r="D980">
        <v>1</v>
      </c>
      <c r="E980" t="s">
        <v>20</v>
      </c>
      <c r="F980">
        <v>2</v>
      </c>
      <c r="G980" t="s">
        <v>124</v>
      </c>
      <c r="H980" s="2">
        <v>46203.784502314818</v>
      </c>
      <c r="I980">
        <v>16</v>
      </c>
      <c r="J980" t="s">
        <v>120</v>
      </c>
      <c r="K980" s="8">
        <v>1</v>
      </c>
      <c r="L980">
        <v>3</v>
      </c>
      <c r="M980" t="s">
        <v>114</v>
      </c>
      <c r="N980">
        <v>49</v>
      </c>
      <c r="O980" t="s">
        <v>30</v>
      </c>
      <c r="P980" t="s">
        <v>57</v>
      </c>
      <c r="Q980" t="s">
        <v>117</v>
      </c>
      <c r="R980" s="7">
        <v>3</v>
      </c>
      <c r="S980" s="7">
        <v>3</v>
      </c>
      <c r="T980" t="s">
        <v>125</v>
      </c>
    </row>
    <row r="981" spans="1:20" x14ac:dyDescent="0.3">
      <c r="A981">
        <v>980</v>
      </c>
      <c r="B981" s="1">
        <v>44928</v>
      </c>
      <c r="C981">
        <v>2023</v>
      </c>
      <c r="D981">
        <v>1</v>
      </c>
      <c r="E981" t="s">
        <v>20</v>
      </c>
      <c r="F981">
        <v>2</v>
      </c>
      <c r="G981" t="s">
        <v>124</v>
      </c>
      <c r="H981" s="2">
        <v>46203.784884259258</v>
      </c>
      <c r="I981">
        <v>16</v>
      </c>
      <c r="J981" t="s">
        <v>120</v>
      </c>
      <c r="K981" s="8">
        <v>1</v>
      </c>
      <c r="L981">
        <v>8</v>
      </c>
      <c r="M981" t="s">
        <v>64</v>
      </c>
      <c r="N981">
        <v>25</v>
      </c>
      <c r="O981" t="s">
        <v>24</v>
      </c>
      <c r="P981" t="s">
        <v>82</v>
      </c>
      <c r="Q981" t="s">
        <v>96</v>
      </c>
      <c r="R981" s="7">
        <v>2.2000000000000002</v>
      </c>
      <c r="S981" s="7">
        <v>2.2000000000000002</v>
      </c>
      <c r="T981" t="s">
        <v>125</v>
      </c>
    </row>
    <row r="982" spans="1:20" x14ac:dyDescent="0.3">
      <c r="A982">
        <v>981</v>
      </c>
      <c r="B982" s="1">
        <v>44928</v>
      </c>
      <c r="C982">
        <v>2023</v>
      </c>
      <c r="D982">
        <v>1</v>
      </c>
      <c r="E982" t="s">
        <v>20</v>
      </c>
      <c r="F982">
        <v>2</v>
      </c>
      <c r="G982" t="s">
        <v>124</v>
      </c>
      <c r="H982" s="2">
        <v>46203.785520833335</v>
      </c>
      <c r="I982">
        <v>16</v>
      </c>
      <c r="J982" t="s">
        <v>120</v>
      </c>
      <c r="K982" s="8">
        <v>2</v>
      </c>
      <c r="L982">
        <v>3</v>
      </c>
      <c r="M982" t="s">
        <v>114</v>
      </c>
      <c r="N982">
        <v>34</v>
      </c>
      <c r="O982" t="s">
        <v>24</v>
      </c>
      <c r="P982" t="s">
        <v>99</v>
      </c>
      <c r="Q982" t="s">
        <v>100</v>
      </c>
      <c r="R982" s="7">
        <v>2.4500000000000002</v>
      </c>
      <c r="S982" s="7">
        <v>4.9000000000000004</v>
      </c>
      <c r="T982" t="s">
        <v>125</v>
      </c>
    </row>
    <row r="983" spans="1:20" x14ac:dyDescent="0.3">
      <c r="A983">
        <v>982</v>
      </c>
      <c r="B983" s="1">
        <v>44928</v>
      </c>
      <c r="C983">
        <v>2023</v>
      </c>
      <c r="D983">
        <v>1</v>
      </c>
      <c r="E983" t="s">
        <v>20</v>
      </c>
      <c r="F983">
        <v>2</v>
      </c>
      <c r="G983" t="s">
        <v>124</v>
      </c>
      <c r="H983" s="2">
        <v>46203.785520833335</v>
      </c>
      <c r="I983">
        <v>16</v>
      </c>
      <c r="J983" t="s">
        <v>120</v>
      </c>
      <c r="K983" s="8">
        <v>1</v>
      </c>
      <c r="L983">
        <v>3</v>
      </c>
      <c r="M983" t="s">
        <v>114</v>
      </c>
      <c r="N983">
        <v>72</v>
      </c>
      <c r="O983" t="s">
        <v>43</v>
      </c>
      <c r="P983" t="s">
        <v>44</v>
      </c>
      <c r="Q983" t="s">
        <v>109</v>
      </c>
      <c r="R983" s="7">
        <v>3.25</v>
      </c>
      <c r="S983" s="7">
        <v>3.25</v>
      </c>
      <c r="T983" t="s">
        <v>125</v>
      </c>
    </row>
    <row r="984" spans="1:20" x14ac:dyDescent="0.3">
      <c r="A984">
        <v>983</v>
      </c>
      <c r="B984" s="1">
        <v>44928</v>
      </c>
      <c r="C984">
        <v>2023</v>
      </c>
      <c r="D984">
        <v>1</v>
      </c>
      <c r="E984" t="s">
        <v>20</v>
      </c>
      <c r="F984">
        <v>2</v>
      </c>
      <c r="G984" t="s">
        <v>124</v>
      </c>
      <c r="H984" s="2">
        <v>46203.788865740738</v>
      </c>
      <c r="I984">
        <v>16</v>
      </c>
      <c r="J984" t="s">
        <v>120</v>
      </c>
      <c r="K984" s="8">
        <v>2</v>
      </c>
      <c r="L984">
        <v>3</v>
      </c>
      <c r="M984" t="s">
        <v>114</v>
      </c>
      <c r="N984">
        <v>24</v>
      </c>
      <c r="O984" t="s">
        <v>24</v>
      </c>
      <c r="P984" t="s">
        <v>40</v>
      </c>
      <c r="Q984" t="s">
        <v>89</v>
      </c>
      <c r="R984" s="7">
        <v>3</v>
      </c>
      <c r="S984" s="7">
        <v>6</v>
      </c>
      <c r="T984" t="s">
        <v>125</v>
      </c>
    </row>
    <row r="985" spans="1:20" x14ac:dyDescent="0.3">
      <c r="A985">
        <v>984</v>
      </c>
      <c r="B985" s="1">
        <v>44928</v>
      </c>
      <c r="C985">
        <v>2023</v>
      </c>
      <c r="D985">
        <v>1</v>
      </c>
      <c r="E985" t="s">
        <v>20</v>
      </c>
      <c r="F985">
        <v>2</v>
      </c>
      <c r="G985" t="s">
        <v>124</v>
      </c>
      <c r="H985" s="2">
        <v>46203.789050925923</v>
      </c>
      <c r="I985">
        <v>16</v>
      </c>
      <c r="J985" t="s">
        <v>120</v>
      </c>
      <c r="K985" s="8">
        <v>1</v>
      </c>
      <c r="L985">
        <v>8</v>
      </c>
      <c r="M985" t="s">
        <v>64</v>
      </c>
      <c r="N985">
        <v>41</v>
      </c>
      <c r="O985" t="s">
        <v>24</v>
      </c>
      <c r="P985" t="s">
        <v>48</v>
      </c>
      <c r="Q985" t="s">
        <v>105</v>
      </c>
      <c r="R985" s="7">
        <v>4.25</v>
      </c>
      <c r="S985" s="7">
        <v>4.25</v>
      </c>
      <c r="T985" t="s">
        <v>125</v>
      </c>
    </row>
    <row r="986" spans="1:20" x14ac:dyDescent="0.3">
      <c r="A986">
        <v>985</v>
      </c>
      <c r="B986" s="1">
        <v>44928</v>
      </c>
      <c r="C986">
        <v>2023</v>
      </c>
      <c r="D986">
        <v>1</v>
      </c>
      <c r="E986" t="s">
        <v>20</v>
      </c>
      <c r="F986">
        <v>2</v>
      </c>
      <c r="G986" t="s">
        <v>124</v>
      </c>
      <c r="H986" s="2">
        <v>46203.791076388887</v>
      </c>
      <c r="I986">
        <v>16</v>
      </c>
      <c r="J986" t="s">
        <v>120</v>
      </c>
      <c r="K986" s="8">
        <v>1</v>
      </c>
      <c r="L986">
        <v>5</v>
      </c>
      <c r="M986" t="s">
        <v>23</v>
      </c>
      <c r="N986">
        <v>23</v>
      </c>
      <c r="O986" t="s">
        <v>24</v>
      </c>
      <c r="P986" t="s">
        <v>40</v>
      </c>
      <c r="Q986" t="s">
        <v>94</v>
      </c>
      <c r="R986" s="7">
        <v>2.5</v>
      </c>
      <c r="S986" s="7">
        <v>2.5</v>
      </c>
      <c r="T986" t="s">
        <v>125</v>
      </c>
    </row>
    <row r="987" spans="1:20" x14ac:dyDescent="0.3">
      <c r="A987">
        <v>986</v>
      </c>
      <c r="B987" s="1">
        <v>44928</v>
      </c>
      <c r="C987">
        <v>2023</v>
      </c>
      <c r="D987">
        <v>1</v>
      </c>
      <c r="E987" t="s">
        <v>20</v>
      </c>
      <c r="F987">
        <v>2</v>
      </c>
      <c r="G987" t="s">
        <v>124</v>
      </c>
      <c r="H987" s="2">
        <v>46203.792268518519</v>
      </c>
      <c r="I987">
        <v>17</v>
      </c>
      <c r="J987" t="s">
        <v>123</v>
      </c>
      <c r="K987" s="8">
        <v>1</v>
      </c>
      <c r="L987">
        <v>8</v>
      </c>
      <c r="M987" t="s">
        <v>64</v>
      </c>
      <c r="N987">
        <v>25</v>
      </c>
      <c r="O987" t="s">
        <v>24</v>
      </c>
      <c r="P987" t="s">
        <v>82</v>
      </c>
      <c r="Q987" t="s">
        <v>96</v>
      </c>
      <c r="R987" s="7">
        <v>2.2000000000000002</v>
      </c>
      <c r="S987" s="7">
        <v>2.2000000000000002</v>
      </c>
      <c r="T987" t="s">
        <v>125</v>
      </c>
    </row>
    <row r="988" spans="1:20" x14ac:dyDescent="0.3">
      <c r="A988">
        <v>987</v>
      </c>
      <c r="B988" s="1">
        <v>44928</v>
      </c>
      <c r="C988">
        <v>2023</v>
      </c>
      <c r="D988">
        <v>1</v>
      </c>
      <c r="E988" t="s">
        <v>20</v>
      </c>
      <c r="F988">
        <v>2</v>
      </c>
      <c r="G988" t="s">
        <v>124</v>
      </c>
      <c r="H988" s="2">
        <v>46203.793124999997</v>
      </c>
      <c r="I988">
        <v>17</v>
      </c>
      <c r="J988" t="s">
        <v>123</v>
      </c>
      <c r="K988" s="8">
        <v>1</v>
      </c>
      <c r="L988">
        <v>8</v>
      </c>
      <c r="M988" t="s">
        <v>64</v>
      </c>
      <c r="N988">
        <v>50</v>
      </c>
      <c r="O988" t="s">
        <v>30</v>
      </c>
      <c r="P988" t="s">
        <v>57</v>
      </c>
      <c r="Q988" t="s">
        <v>108</v>
      </c>
      <c r="R988" s="7">
        <v>2.5</v>
      </c>
      <c r="S988" s="7">
        <v>2.5</v>
      </c>
      <c r="T988" t="s">
        <v>125</v>
      </c>
    </row>
    <row r="989" spans="1:20" x14ac:dyDescent="0.3">
      <c r="A989">
        <v>988</v>
      </c>
      <c r="B989" s="1">
        <v>44928</v>
      </c>
      <c r="C989">
        <v>2023</v>
      </c>
      <c r="D989">
        <v>1</v>
      </c>
      <c r="E989" t="s">
        <v>20</v>
      </c>
      <c r="F989">
        <v>2</v>
      </c>
      <c r="G989" t="s">
        <v>124</v>
      </c>
      <c r="H989" s="2">
        <v>46203.793738425928</v>
      </c>
      <c r="I989">
        <v>17</v>
      </c>
      <c r="J989" t="s">
        <v>123</v>
      </c>
      <c r="K989" s="8">
        <v>2</v>
      </c>
      <c r="L989">
        <v>5</v>
      </c>
      <c r="M989" t="s">
        <v>23</v>
      </c>
      <c r="N989">
        <v>29</v>
      </c>
      <c r="O989" t="s">
        <v>24</v>
      </c>
      <c r="P989" t="s">
        <v>25</v>
      </c>
      <c r="Q989" t="s">
        <v>85</v>
      </c>
      <c r="R989" s="7">
        <v>2.5</v>
      </c>
      <c r="S989" s="7">
        <v>5</v>
      </c>
      <c r="T989" t="s">
        <v>125</v>
      </c>
    </row>
    <row r="990" spans="1:20" x14ac:dyDescent="0.3">
      <c r="A990">
        <v>989</v>
      </c>
      <c r="B990" s="1">
        <v>44928</v>
      </c>
      <c r="C990">
        <v>2023</v>
      </c>
      <c r="D990">
        <v>1</v>
      </c>
      <c r="E990" t="s">
        <v>20</v>
      </c>
      <c r="F990">
        <v>2</v>
      </c>
      <c r="G990" t="s">
        <v>124</v>
      </c>
      <c r="H990" s="2">
        <v>46203.793738425928</v>
      </c>
      <c r="I990">
        <v>17</v>
      </c>
      <c r="J990" t="s">
        <v>123</v>
      </c>
      <c r="K990" s="8">
        <v>1</v>
      </c>
      <c r="L990">
        <v>5</v>
      </c>
      <c r="M990" t="s">
        <v>23</v>
      </c>
      <c r="N990">
        <v>77</v>
      </c>
      <c r="O990" t="s">
        <v>43</v>
      </c>
      <c r="P990" t="s">
        <v>44</v>
      </c>
      <c r="Q990" t="s">
        <v>45</v>
      </c>
      <c r="R990" s="7">
        <v>3</v>
      </c>
      <c r="S990" s="7">
        <v>3</v>
      </c>
      <c r="T990" t="s">
        <v>125</v>
      </c>
    </row>
    <row r="991" spans="1:20" x14ac:dyDescent="0.3">
      <c r="A991">
        <v>990</v>
      </c>
      <c r="B991" s="1">
        <v>44928</v>
      </c>
      <c r="C991">
        <v>2023</v>
      </c>
      <c r="D991">
        <v>1</v>
      </c>
      <c r="E991" t="s">
        <v>20</v>
      </c>
      <c r="F991">
        <v>2</v>
      </c>
      <c r="G991" t="s">
        <v>124</v>
      </c>
      <c r="H991" s="2">
        <v>46203.795092592591</v>
      </c>
      <c r="I991">
        <v>17</v>
      </c>
      <c r="J991" t="s">
        <v>123</v>
      </c>
      <c r="K991" s="8">
        <v>1</v>
      </c>
      <c r="L991">
        <v>3</v>
      </c>
      <c r="M991" t="s">
        <v>114</v>
      </c>
      <c r="N991">
        <v>60</v>
      </c>
      <c r="O991" t="s">
        <v>35</v>
      </c>
      <c r="P991" t="s">
        <v>36</v>
      </c>
      <c r="Q991" t="s">
        <v>90</v>
      </c>
      <c r="R991" s="7">
        <v>3.75</v>
      </c>
      <c r="S991" s="7">
        <v>3.75</v>
      </c>
      <c r="T991" t="s">
        <v>125</v>
      </c>
    </row>
    <row r="992" spans="1:20" x14ac:dyDescent="0.3">
      <c r="A992">
        <v>991</v>
      </c>
      <c r="B992" s="1">
        <v>44928</v>
      </c>
      <c r="C992">
        <v>2023</v>
      </c>
      <c r="D992">
        <v>1</v>
      </c>
      <c r="E992" t="s">
        <v>20</v>
      </c>
      <c r="F992">
        <v>2</v>
      </c>
      <c r="G992" t="s">
        <v>124</v>
      </c>
      <c r="H992" s="2">
        <v>46203.798888888887</v>
      </c>
      <c r="I992">
        <v>17</v>
      </c>
      <c r="J992" t="s">
        <v>123</v>
      </c>
      <c r="K992" s="8">
        <v>2</v>
      </c>
      <c r="L992">
        <v>8</v>
      </c>
      <c r="M992" t="s">
        <v>64</v>
      </c>
      <c r="N992">
        <v>55</v>
      </c>
      <c r="O992" t="s">
        <v>30</v>
      </c>
      <c r="P992" t="s">
        <v>31</v>
      </c>
      <c r="Q992" t="s">
        <v>88</v>
      </c>
      <c r="R992" s="7">
        <v>4</v>
      </c>
      <c r="S992" s="7">
        <v>8</v>
      </c>
      <c r="T992" t="s">
        <v>125</v>
      </c>
    </row>
    <row r="993" spans="1:20" x14ac:dyDescent="0.3">
      <c r="A993">
        <v>992</v>
      </c>
      <c r="B993" s="1">
        <v>44928</v>
      </c>
      <c r="C993">
        <v>2023</v>
      </c>
      <c r="D993">
        <v>1</v>
      </c>
      <c r="E993" t="s">
        <v>20</v>
      </c>
      <c r="F993">
        <v>2</v>
      </c>
      <c r="G993" t="s">
        <v>124</v>
      </c>
      <c r="H993" s="2">
        <v>46203.799027777779</v>
      </c>
      <c r="I993">
        <v>17</v>
      </c>
      <c r="J993" t="s">
        <v>123</v>
      </c>
      <c r="K993" s="8">
        <v>1</v>
      </c>
      <c r="L993">
        <v>8</v>
      </c>
      <c r="M993" t="s">
        <v>64</v>
      </c>
      <c r="N993">
        <v>33</v>
      </c>
      <c r="O993" t="s">
        <v>24</v>
      </c>
      <c r="P993" t="s">
        <v>25</v>
      </c>
      <c r="Q993" t="s">
        <v>56</v>
      </c>
      <c r="R993" s="7">
        <v>3.5</v>
      </c>
      <c r="S993" s="7">
        <v>3.5</v>
      </c>
      <c r="T993" t="s">
        <v>125</v>
      </c>
    </row>
    <row r="994" spans="1:20" x14ac:dyDescent="0.3">
      <c r="A994">
        <v>993</v>
      </c>
      <c r="B994" s="1">
        <v>44928</v>
      </c>
      <c r="C994">
        <v>2023</v>
      </c>
      <c r="D994">
        <v>1</v>
      </c>
      <c r="E994" t="s">
        <v>20</v>
      </c>
      <c r="F994">
        <v>2</v>
      </c>
      <c r="G994" t="s">
        <v>124</v>
      </c>
      <c r="H994" s="2">
        <v>46203.800520833334</v>
      </c>
      <c r="I994">
        <v>17</v>
      </c>
      <c r="J994" t="s">
        <v>123</v>
      </c>
      <c r="K994" s="8">
        <v>2</v>
      </c>
      <c r="L994">
        <v>3</v>
      </c>
      <c r="M994" t="s">
        <v>114</v>
      </c>
      <c r="N994">
        <v>42</v>
      </c>
      <c r="O994" t="s">
        <v>30</v>
      </c>
      <c r="P994" t="s">
        <v>65</v>
      </c>
      <c r="Q994" t="s">
        <v>66</v>
      </c>
      <c r="R994" s="7">
        <v>2.5</v>
      </c>
      <c r="S994" s="7">
        <v>5</v>
      </c>
      <c r="T994" t="s">
        <v>125</v>
      </c>
    </row>
    <row r="995" spans="1:20" x14ac:dyDescent="0.3">
      <c r="A995">
        <v>994</v>
      </c>
      <c r="B995" s="1">
        <v>44928</v>
      </c>
      <c r="C995">
        <v>2023</v>
      </c>
      <c r="D995">
        <v>1</v>
      </c>
      <c r="E995" t="s">
        <v>20</v>
      </c>
      <c r="F995">
        <v>2</v>
      </c>
      <c r="G995" t="s">
        <v>124</v>
      </c>
      <c r="H995" s="2">
        <v>46203.801307870373</v>
      </c>
      <c r="I995">
        <v>17</v>
      </c>
      <c r="J995" t="s">
        <v>123</v>
      </c>
      <c r="K995" s="8">
        <v>1</v>
      </c>
      <c r="L995">
        <v>8</v>
      </c>
      <c r="M995" t="s">
        <v>64</v>
      </c>
      <c r="N995">
        <v>43</v>
      </c>
      <c r="O995" t="s">
        <v>30</v>
      </c>
      <c r="P995" t="s">
        <v>65</v>
      </c>
      <c r="Q995" t="s">
        <v>75</v>
      </c>
      <c r="R995" s="7">
        <v>3</v>
      </c>
      <c r="S995" s="7">
        <v>3</v>
      </c>
      <c r="T995" t="s">
        <v>125</v>
      </c>
    </row>
    <row r="996" spans="1:20" x14ac:dyDescent="0.3">
      <c r="A996">
        <v>995</v>
      </c>
      <c r="B996" s="1">
        <v>44928</v>
      </c>
      <c r="C996">
        <v>2023</v>
      </c>
      <c r="D996">
        <v>1</v>
      </c>
      <c r="E996" t="s">
        <v>20</v>
      </c>
      <c r="F996">
        <v>2</v>
      </c>
      <c r="G996" t="s">
        <v>124</v>
      </c>
      <c r="H996" s="2">
        <v>46203.802407407406</v>
      </c>
      <c r="I996">
        <v>17</v>
      </c>
      <c r="J996" t="s">
        <v>123</v>
      </c>
      <c r="K996" s="8">
        <v>2</v>
      </c>
      <c r="L996">
        <v>5</v>
      </c>
      <c r="M996" t="s">
        <v>23</v>
      </c>
      <c r="N996">
        <v>27</v>
      </c>
      <c r="O996" t="s">
        <v>24</v>
      </c>
      <c r="P996" t="s">
        <v>82</v>
      </c>
      <c r="Q996" t="s">
        <v>84</v>
      </c>
      <c r="R996" s="7">
        <v>3.5</v>
      </c>
      <c r="S996" s="7">
        <v>7</v>
      </c>
      <c r="T996" t="s">
        <v>125</v>
      </c>
    </row>
    <row r="997" spans="1:20" x14ac:dyDescent="0.3">
      <c r="A997">
        <v>996</v>
      </c>
      <c r="B997" s="1">
        <v>44928</v>
      </c>
      <c r="C997">
        <v>2023</v>
      </c>
      <c r="D997">
        <v>1</v>
      </c>
      <c r="E997" t="s">
        <v>20</v>
      </c>
      <c r="F997">
        <v>2</v>
      </c>
      <c r="G997" t="s">
        <v>124</v>
      </c>
      <c r="H997" s="2">
        <v>46203.802488425928</v>
      </c>
      <c r="I997">
        <v>17</v>
      </c>
      <c r="J997" t="s">
        <v>123</v>
      </c>
      <c r="K997" s="8">
        <v>2</v>
      </c>
      <c r="L997">
        <v>5</v>
      </c>
      <c r="M997" t="s">
        <v>23</v>
      </c>
      <c r="N997">
        <v>57</v>
      </c>
      <c r="O997" t="s">
        <v>30</v>
      </c>
      <c r="P997" t="s">
        <v>31</v>
      </c>
      <c r="Q997" t="s">
        <v>32</v>
      </c>
      <c r="R997" s="7">
        <v>3.1</v>
      </c>
      <c r="S997" s="7">
        <v>6.2</v>
      </c>
      <c r="T997" t="s">
        <v>125</v>
      </c>
    </row>
    <row r="998" spans="1:20" x14ac:dyDescent="0.3">
      <c r="A998">
        <v>997</v>
      </c>
      <c r="B998" s="1">
        <v>44928</v>
      </c>
      <c r="C998">
        <v>2023</v>
      </c>
      <c r="D998">
        <v>1</v>
      </c>
      <c r="E998" t="s">
        <v>20</v>
      </c>
      <c r="F998">
        <v>2</v>
      </c>
      <c r="G998" t="s">
        <v>124</v>
      </c>
      <c r="H998" s="2">
        <v>46203.803472222222</v>
      </c>
      <c r="I998">
        <v>17</v>
      </c>
      <c r="J998" t="s">
        <v>123</v>
      </c>
      <c r="K998" s="8">
        <v>2</v>
      </c>
      <c r="L998">
        <v>3</v>
      </c>
      <c r="M998" t="s">
        <v>114</v>
      </c>
      <c r="N998">
        <v>53</v>
      </c>
      <c r="O998" t="s">
        <v>30</v>
      </c>
      <c r="P998" t="s">
        <v>31</v>
      </c>
      <c r="Q998" t="s">
        <v>104</v>
      </c>
      <c r="R998" s="7">
        <v>3</v>
      </c>
      <c r="S998" s="7">
        <v>6</v>
      </c>
      <c r="T998" t="s">
        <v>125</v>
      </c>
    </row>
    <row r="999" spans="1:20" x14ac:dyDescent="0.3">
      <c r="A999">
        <v>998</v>
      </c>
      <c r="B999" s="1">
        <v>44928</v>
      </c>
      <c r="C999">
        <v>2023</v>
      </c>
      <c r="D999">
        <v>1</v>
      </c>
      <c r="E999" t="s">
        <v>20</v>
      </c>
      <c r="F999">
        <v>2</v>
      </c>
      <c r="G999" t="s">
        <v>124</v>
      </c>
      <c r="H999" s="2">
        <v>46203.803472222222</v>
      </c>
      <c r="I999">
        <v>17</v>
      </c>
      <c r="J999" t="s">
        <v>123</v>
      </c>
      <c r="K999" s="8">
        <v>1</v>
      </c>
      <c r="L999">
        <v>3</v>
      </c>
      <c r="M999" t="s">
        <v>114</v>
      </c>
      <c r="N999">
        <v>70</v>
      </c>
      <c r="O999" t="s">
        <v>43</v>
      </c>
      <c r="P999" t="s">
        <v>44</v>
      </c>
      <c r="Q999" t="s">
        <v>111</v>
      </c>
      <c r="R999" s="7">
        <v>3.25</v>
      </c>
      <c r="S999" s="7">
        <v>3.25</v>
      </c>
      <c r="T999" t="s">
        <v>125</v>
      </c>
    </row>
    <row r="1000" spans="1:20" x14ac:dyDescent="0.3">
      <c r="A1000">
        <v>999</v>
      </c>
      <c r="B1000" s="1">
        <v>44928</v>
      </c>
      <c r="C1000">
        <v>2023</v>
      </c>
      <c r="D1000">
        <v>1</v>
      </c>
      <c r="E1000" t="s">
        <v>20</v>
      </c>
      <c r="F1000">
        <v>2</v>
      </c>
      <c r="G1000" t="s">
        <v>124</v>
      </c>
      <c r="H1000" s="2">
        <v>46203.804456018515</v>
      </c>
      <c r="I1000">
        <v>17</v>
      </c>
      <c r="J1000" t="s">
        <v>123</v>
      </c>
      <c r="K1000" s="8">
        <v>2</v>
      </c>
      <c r="L1000">
        <v>5</v>
      </c>
      <c r="M1000" t="s">
        <v>23</v>
      </c>
      <c r="N1000">
        <v>32</v>
      </c>
      <c r="O1000" t="s">
        <v>24</v>
      </c>
      <c r="P1000" t="s">
        <v>25</v>
      </c>
      <c r="Q1000" t="s">
        <v>26</v>
      </c>
      <c r="R1000" s="7">
        <v>3</v>
      </c>
      <c r="S1000" s="7">
        <v>6</v>
      </c>
      <c r="T1000" t="s">
        <v>125</v>
      </c>
    </row>
    <row r="1001" spans="1:20" x14ac:dyDescent="0.3">
      <c r="A1001">
        <v>1000</v>
      </c>
      <c r="B1001" s="1">
        <v>44928</v>
      </c>
      <c r="C1001">
        <v>2023</v>
      </c>
      <c r="D1001">
        <v>1</v>
      </c>
      <c r="E1001" t="s">
        <v>20</v>
      </c>
      <c r="F1001">
        <v>2</v>
      </c>
      <c r="G1001" t="s">
        <v>124</v>
      </c>
      <c r="H1001" s="2">
        <v>46203.804895833331</v>
      </c>
      <c r="I1001">
        <v>17</v>
      </c>
      <c r="J1001" t="s">
        <v>123</v>
      </c>
      <c r="K1001" s="8">
        <v>1</v>
      </c>
      <c r="L1001">
        <v>8</v>
      </c>
      <c r="M1001" t="s">
        <v>64</v>
      </c>
      <c r="N1001">
        <v>54</v>
      </c>
      <c r="O1001" t="s">
        <v>30</v>
      </c>
      <c r="P1001" t="s">
        <v>31</v>
      </c>
      <c r="Q1001" t="s">
        <v>87</v>
      </c>
      <c r="R1001" s="7">
        <v>2.5</v>
      </c>
      <c r="S1001" s="7">
        <v>2.5</v>
      </c>
      <c r="T1001" t="s">
        <v>125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B19C1-5C67-4ADB-8555-4A395213CB80}">
  <dimension ref="A1:A5"/>
  <sheetViews>
    <sheetView workbookViewId="0">
      <selection activeCell="M34" sqref="M34"/>
    </sheetView>
  </sheetViews>
  <sheetFormatPr defaultRowHeight="14.4" x14ac:dyDescent="0.3"/>
  <sheetData>
    <row r="1" ht="31.95" customHeight="1" x14ac:dyDescent="0.3"/>
    <row r="5" ht="48" customHeight="1"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A6F3D-FB10-4BF3-B792-16E22F371D68}">
  <dimension ref="A1:L22"/>
  <sheetViews>
    <sheetView workbookViewId="0">
      <selection sqref="A1:L1"/>
    </sheetView>
  </sheetViews>
  <sheetFormatPr defaultRowHeight="14.4" x14ac:dyDescent="0.3"/>
  <sheetData>
    <row r="1" spans="1:12" ht="31.95" customHeight="1" x14ac:dyDescent="0.45">
      <c r="A1" s="30" t="s">
        <v>150</v>
      </c>
      <c r="B1" s="31"/>
      <c r="C1" s="31"/>
      <c r="D1" s="31"/>
      <c r="E1" s="31"/>
      <c r="F1" s="31"/>
      <c r="G1" s="31"/>
      <c r="H1" s="31"/>
      <c r="I1" s="31"/>
      <c r="J1" s="31"/>
      <c r="K1" s="31"/>
      <c r="L1" s="31"/>
    </row>
    <row r="2" spans="1:12" x14ac:dyDescent="0.3">
      <c r="A2" s="32" t="s">
        <v>157</v>
      </c>
      <c r="B2" s="31"/>
      <c r="C2" s="31"/>
      <c r="D2" s="31"/>
      <c r="E2" s="31"/>
      <c r="F2" s="31"/>
      <c r="G2" s="31"/>
      <c r="H2" s="31"/>
      <c r="I2" s="31"/>
      <c r="J2" s="31"/>
      <c r="K2" s="31"/>
      <c r="L2" s="31"/>
    </row>
    <row r="4" spans="1:12" ht="15.6" x14ac:dyDescent="0.3">
      <c r="A4" s="33" t="s">
        <v>158</v>
      </c>
      <c r="B4" s="31"/>
      <c r="C4" s="31"/>
      <c r="D4" s="31"/>
      <c r="E4" s="31"/>
      <c r="F4" s="31"/>
      <c r="G4" s="33" t="s">
        <v>159</v>
      </c>
      <c r="H4" s="31"/>
      <c r="I4" s="31"/>
      <c r="J4" s="31"/>
      <c r="K4" s="31"/>
      <c r="L4" s="31"/>
    </row>
    <row r="5" spans="1:12" x14ac:dyDescent="0.3">
      <c r="A5" s="10" t="s">
        <v>133</v>
      </c>
      <c r="B5" s="10" t="s">
        <v>134</v>
      </c>
      <c r="C5" s="10" t="s">
        <v>135</v>
      </c>
      <c r="D5" s="10" t="s">
        <v>136</v>
      </c>
      <c r="E5" s="10" t="s">
        <v>137</v>
      </c>
      <c r="G5" s="10" t="s">
        <v>138</v>
      </c>
      <c r="H5" s="10" t="s">
        <v>134</v>
      </c>
      <c r="I5" s="10" t="s">
        <v>135</v>
      </c>
      <c r="J5" s="10" t="s">
        <v>136</v>
      </c>
      <c r="K5" s="10" t="s">
        <v>137</v>
      </c>
    </row>
    <row r="6" spans="1:12" x14ac:dyDescent="0.3">
      <c r="A6" s="11" t="str">
        <f>Analysis!A2</f>
        <v>Coffee</v>
      </c>
      <c r="B6" s="12">
        <f>Analysis!B2</f>
        <v>2037.5000000000018</v>
      </c>
      <c r="C6" s="13">
        <f>Analysis!C2</f>
        <v>444</v>
      </c>
      <c r="D6" s="13">
        <f>Analysis!D2</f>
        <v>675</v>
      </c>
      <c r="E6" s="12">
        <f>Analysis!E2</f>
        <v>4.5889639639639679</v>
      </c>
      <c r="G6" s="11" t="str">
        <f>Analysis!G2</f>
        <v>Barista Espresso</v>
      </c>
      <c r="H6" s="12">
        <f>Analysis!H2</f>
        <v>649.25</v>
      </c>
      <c r="I6" s="13">
        <f>Analysis!I2</f>
        <v>115</v>
      </c>
      <c r="J6" s="13">
        <f>Analysis!J2</f>
        <v>175</v>
      </c>
      <c r="K6" s="12">
        <f>Analysis!K2</f>
        <v>5.6456521739130432</v>
      </c>
    </row>
    <row r="7" spans="1:12" x14ac:dyDescent="0.3">
      <c r="A7" s="11" t="str">
        <f>Analysis!A3</f>
        <v>Tea</v>
      </c>
      <c r="B7" s="12">
        <f>Analysis!B3</f>
        <v>1421.6999999999996</v>
      </c>
      <c r="C7" s="13">
        <f>Analysis!C3</f>
        <v>344</v>
      </c>
      <c r="D7" s="13">
        <f>Analysis!D3</f>
        <v>506</v>
      </c>
      <c r="E7" s="12">
        <f>Analysis!E3</f>
        <v>4.1328488372093011</v>
      </c>
      <c r="G7" s="11" t="str">
        <f>Analysis!G3</f>
        <v>Brewed Chai tea</v>
      </c>
      <c r="H7" s="12">
        <f>Analysis!H3</f>
        <v>556.20000000000027</v>
      </c>
      <c r="I7" s="13">
        <f>Analysis!I3</f>
        <v>134</v>
      </c>
      <c r="J7" s="13">
        <f>Analysis!J3</f>
        <v>191</v>
      </c>
      <c r="K7" s="12">
        <f>Analysis!K3</f>
        <v>4.150746268656718</v>
      </c>
    </row>
    <row r="8" spans="1:12" x14ac:dyDescent="0.3">
      <c r="A8" s="11" t="str">
        <f>Analysis!A4</f>
        <v>Bakery</v>
      </c>
      <c r="B8" s="12">
        <f>Analysis!B4</f>
        <v>471</v>
      </c>
      <c r="C8" s="13">
        <f>Analysis!C4</f>
        <v>132</v>
      </c>
      <c r="D8" s="13">
        <f>Analysis!D4</f>
        <v>132</v>
      </c>
      <c r="E8" s="12">
        <f>Analysis!E4</f>
        <v>3.5681818181818183</v>
      </c>
      <c r="G8" s="11" t="str">
        <f>Analysis!G4</f>
        <v>Gourmet brewed coffee</v>
      </c>
      <c r="H8" s="12">
        <f>Analysis!H4</f>
        <v>487.69999999999987</v>
      </c>
      <c r="I8" s="13">
        <f>Analysis!I4</f>
        <v>116</v>
      </c>
      <c r="J8" s="13">
        <f>Analysis!J4</f>
        <v>183</v>
      </c>
      <c r="K8" s="12">
        <f>Analysis!K4</f>
        <v>4.2043103448275847</v>
      </c>
    </row>
    <row r="9" spans="1:12" x14ac:dyDescent="0.3">
      <c r="A9" s="11" t="str">
        <f>Analysis!A5</f>
        <v>Drinking Chocolate</v>
      </c>
      <c r="B9" s="12">
        <f>Analysis!B5</f>
        <v>466</v>
      </c>
      <c r="C9" s="13">
        <f>Analysis!C5</f>
        <v>80</v>
      </c>
      <c r="D9" s="13">
        <f>Analysis!D5</f>
        <v>114</v>
      </c>
      <c r="E9" s="12">
        <f>Analysis!E5</f>
        <v>5.8250000000000002</v>
      </c>
      <c r="G9" s="11" t="str">
        <f>Analysis!G5</f>
        <v>Hot chocolate</v>
      </c>
      <c r="H9" s="12">
        <f>Analysis!H5</f>
        <v>466</v>
      </c>
      <c r="I9" s="13">
        <f>Analysis!I5</f>
        <v>80</v>
      </c>
      <c r="J9" s="13">
        <f>Analysis!J5</f>
        <v>114</v>
      </c>
      <c r="K9" s="12">
        <f>Analysis!K5</f>
        <v>5.8250000000000002</v>
      </c>
    </row>
    <row r="10" spans="1:12" x14ac:dyDescent="0.3">
      <c r="G10" s="11" t="str">
        <f>Analysis!G6</f>
        <v>Brewed herbal tea</v>
      </c>
      <c r="H10" s="12">
        <f>Analysis!H6</f>
        <v>351.5</v>
      </c>
      <c r="I10" s="13">
        <f>Analysis!I6</f>
        <v>84</v>
      </c>
      <c r="J10" s="13">
        <f>Analysis!J6</f>
        <v>128</v>
      </c>
      <c r="K10" s="12">
        <f>Analysis!K6</f>
        <v>4.1845238095238093</v>
      </c>
    </row>
    <row r="11" spans="1:12" x14ac:dyDescent="0.3">
      <c r="G11" s="11" t="str">
        <f>Analysis!G7</f>
        <v>Organic brewed coffee</v>
      </c>
      <c r="H11" s="12">
        <f>Analysis!H7</f>
        <v>335.59999999999991</v>
      </c>
      <c r="I11" s="13">
        <f>Analysis!I7</f>
        <v>74</v>
      </c>
      <c r="J11" s="13">
        <f>Analysis!J7</f>
        <v>117</v>
      </c>
      <c r="K11" s="12">
        <f>Analysis!K7</f>
        <v>4.5351351351351337</v>
      </c>
    </row>
    <row r="12" spans="1:12" x14ac:dyDescent="0.3">
      <c r="G12" s="11" t="str">
        <f>Analysis!G8</f>
        <v>Brewed Black tea</v>
      </c>
      <c r="H12" s="12">
        <f>Analysis!H8</f>
        <v>318</v>
      </c>
      <c r="I12" s="13">
        <f>Analysis!I8</f>
        <v>78</v>
      </c>
      <c r="J12" s="13">
        <f>Analysis!J8</f>
        <v>116</v>
      </c>
      <c r="K12" s="12">
        <f>Analysis!K8</f>
        <v>4.0769230769230766</v>
      </c>
    </row>
    <row r="13" spans="1:12" x14ac:dyDescent="0.3">
      <c r="G13" s="11" t="str">
        <f>Analysis!G9</f>
        <v>Premium brewed coffee</v>
      </c>
      <c r="H13" s="12">
        <f>Analysis!H9</f>
        <v>303.44999999999982</v>
      </c>
      <c r="I13" s="13">
        <f>Analysis!I9</f>
        <v>63</v>
      </c>
      <c r="J13" s="13">
        <f>Analysis!J9</f>
        <v>96</v>
      </c>
      <c r="K13" s="12">
        <f>Analysis!K9</f>
        <v>4.8166666666666638</v>
      </c>
    </row>
    <row r="14" spans="1:12" x14ac:dyDescent="0.3">
      <c r="G14" s="11" t="str">
        <f>Analysis!G10</f>
        <v>Drip coffee</v>
      </c>
      <c r="H14" s="12">
        <f>Analysis!H10</f>
        <v>261.5</v>
      </c>
      <c r="I14" s="13">
        <f>Analysis!I10</f>
        <v>76</v>
      </c>
      <c r="J14" s="13">
        <f>Analysis!J10</f>
        <v>104</v>
      </c>
      <c r="K14" s="12">
        <f>Analysis!K10</f>
        <v>3.4407894736842106</v>
      </c>
    </row>
    <row r="15" spans="1:12" x14ac:dyDescent="0.3">
      <c r="G15" s="11" t="str">
        <f>Analysis!G11</f>
        <v>Scone</v>
      </c>
      <c r="H15" s="12">
        <f>Analysis!H11</f>
        <v>228.25</v>
      </c>
      <c r="I15" s="13">
        <f>Analysis!I11</f>
        <v>63</v>
      </c>
      <c r="J15" s="13">
        <f>Analysis!J11</f>
        <v>63</v>
      </c>
      <c r="K15" s="12">
        <f>Analysis!K11</f>
        <v>3.623015873015873</v>
      </c>
    </row>
    <row r="18" spans="1:12" ht="15.6" x14ac:dyDescent="0.3">
      <c r="A18" s="33" t="s">
        <v>160</v>
      </c>
      <c r="B18" s="31"/>
      <c r="C18" s="31"/>
      <c r="D18" s="31"/>
      <c r="E18" s="31"/>
      <c r="F18" s="31"/>
      <c r="G18" s="31"/>
      <c r="H18" s="31"/>
      <c r="I18" s="31"/>
      <c r="J18" s="31"/>
      <c r="K18" s="31"/>
      <c r="L18" s="31"/>
    </row>
    <row r="19" spans="1:12" x14ac:dyDescent="0.3">
      <c r="A19" s="34" t="s">
        <v>161</v>
      </c>
      <c r="B19" s="35"/>
      <c r="C19" s="35"/>
      <c r="D19" s="35"/>
      <c r="E19" s="35"/>
      <c r="F19" s="35"/>
      <c r="G19" s="35"/>
      <c r="H19" s="35"/>
      <c r="I19" s="35"/>
      <c r="J19" s="35"/>
      <c r="K19" s="35"/>
      <c r="L19" s="35"/>
    </row>
    <row r="20" spans="1:12" x14ac:dyDescent="0.3">
      <c r="A20" s="35"/>
      <c r="B20" s="35"/>
      <c r="C20" s="35"/>
      <c r="D20" s="35"/>
      <c r="E20" s="35"/>
      <c r="F20" s="35"/>
      <c r="G20" s="35"/>
      <c r="H20" s="35"/>
      <c r="I20" s="35"/>
      <c r="J20" s="35"/>
      <c r="K20" s="35"/>
      <c r="L20" s="35"/>
    </row>
    <row r="21" spans="1:12" x14ac:dyDescent="0.3">
      <c r="A21" s="35"/>
      <c r="B21" s="35"/>
      <c r="C21" s="35"/>
      <c r="D21" s="35"/>
      <c r="E21" s="35"/>
      <c r="F21" s="35"/>
      <c r="G21" s="35"/>
      <c r="H21" s="35"/>
      <c r="I21" s="35"/>
      <c r="J21" s="35"/>
      <c r="K21" s="35"/>
      <c r="L21" s="35"/>
    </row>
    <row r="22" spans="1:12" x14ac:dyDescent="0.3">
      <c r="A22" s="35"/>
      <c r="B22" s="35"/>
      <c r="C22" s="35"/>
      <c r="D22" s="35"/>
      <c r="E22" s="35"/>
      <c r="F22" s="35"/>
      <c r="G22" s="35"/>
      <c r="H22" s="35"/>
      <c r="I22" s="35"/>
      <c r="J22" s="35"/>
      <c r="K22" s="35"/>
      <c r="L22" s="35"/>
    </row>
  </sheetData>
  <mergeCells count="6">
    <mergeCell ref="A19:L22"/>
    <mergeCell ref="A1:L1"/>
    <mergeCell ref="A2:L2"/>
    <mergeCell ref="A4:F4"/>
    <mergeCell ref="G4:L4"/>
    <mergeCell ref="A18:L1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1D92E-974B-46D5-BD2A-A91D64BDCE42}">
  <dimension ref="A1:L17"/>
  <sheetViews>
    <sheetView workbookViewId="0">
      <selection activeCell="K6" sqref="K6"/>
    </sheetView>
  </sheetViews>
  <sheetFormatPr defaultRowHeight="14.4" x14ac:dyDescent="0.3"/>
  <sheetData>
    <row r="1" spans="1:12" ht="31.95" customHeight="1" x14ac:dyDescent="0.45">
      <c r="A1" s="30" t="s">
        <v>152</v>
      </c>
      <c r="B1" s="31"/>
      <c r="C1" s="31"/>
      <c r="D1" s="31"/>
      <c r="E1" s="31"/>
      <c r="F1" s="31"/>
      <c r="G1" s="31"/>
      <c r="H1" s="31"/>
      <c r="I1" s="31"/>
      <c r="J1" s="31"/>
      <c r="K1" s="31"/>
      <c r="L1" s="31"/>
    </row>
    <row r="2" spans="1:12" x14ac:dyDescent="0.3">
      <c r="A2" s="32" t="s">
        <v>162</v>
      </c>
      <c r="B2" s="31"/>
      <c r="C2" s="31"/>
      <c r="D2" s="31"/>
      <c r="E2" s="31"/>
      <c r="F2" s="31"/>
      <c r="G2" s="31"/>
      <c r="H2" s="31"/>
      <c r="I2" s="31"/>
      <c r="J2" s="31"/>
      <c r="K2" s="31"/>
      <c r="L2" s="31"/>
    </row>
    <row r="4" spans="1:12" ht="15.6" x14ac:dyDescent="0.3">
      <c r="A4" s="33" t="s">
        <v>163</v>
      </c>
      <c r="B4" s="31"/>
      <c r="C4" s="31"/>
      <c r="D4" s="31"/>
      <c r="E4" s="31"/>
      <c r="F4" s="31"/>
      <c r="G4" s="33" t="s">
        <v>164</v>
      </c>
      <c r="H4" s="31"/>
      <c r="I4" s="31"/>
      <c r="J4" s="31"/>
      <c r="K4" s="31"/>
      <c r="L4" s="31"/>
    </row>
    <row r="5" spans="1:12" x14ac:dyDescent="0.3">
      <c r="A5" s="10" t="s">
        <v>139</v>
      </c>
      <c r="B5" s="10" t="s">
        <v>134</v>
      </c>
      <c r="C5" s="10" t="s">
        <v>135</v>
      </c>
      <c r="D5" s="10" t="s">
        <v>136</v>
      </c>
      <c r="E5" s="10" t="s">
        <v>137</v>
      </c>
      <c r="G5" s="10" t="s">
        <v>141</v>
      </c>
      <c r="H5" s="10" t="s">
        <v>134</v>
      </c>
      <c r="I5" s="10" t="s">
        <v>135</v>
      </c>
      <c r="J5" s="10" t="s">
        <v>136</v>
      </c>
      <c r="K5" s="10" t="s">
        <v>137</v>
      </c>
    </row>
    <row r="6" spans="1:12" x14ac:dyDescent="0.3">
      <c r="A6" s="11" t="str">
        <f>Analysis!M2</f>
        <v>Afternoon</v>
      </c>
      <c r="B6" s="12">
        <f>Analysis!N2</f>
        <v>2328.2499999999995</v>
      </c>
      <c r="C6" s="13">
        <f>Analysis!O2</f>
        <v>537</v>
      </c>
      <c r="D6" s="13">
        <f>Analysis!P2</f>
        <v>770</v>
      </c>
      <c r="E6" s="12">
        <f>Analysis!Q2</f>
        <v>4.3356610800744875</v>
      </c>
      <c r="G6" s="11" t="str">
        <f>Analysis!Y2</f>
        <v>Hell's Kitchen</v>
      </c>
      <c r="H6" s="12">
        <f>Analysis!Z2</f>
        <v>1506</v>
      </c>
      <c r="I6" s="13">
        <f>Analysis!AA2</f>
        <v>339</v>
      </c>
      <c r="J6" s="13">
        <f>Analysis!AB2</f>
        <v>485</v>
      </c>
      <c r="K6" s="12">
        <f>Analysis!AC2</f>
        <v>4.4424778761061949</v>
      </c>
    </row>
    <row r="7" spans="1:12" x14ac:dyDescent="0.3">
      <c r="A7" s="11" t="str">
        <f>Analysis!M3</f>
        <v>Morning</v>
      </c>
      <c r="B7" s="12">
        <f>Analysis!N3</f>
        <v>1350.8000000000004</v>
      </c>
      <c r="C7" s="13">
        <f>Analysis!O3</f>
        <v>310</v>
      </c>
      <c r="D7" s="13">
        <f>Analysis!P3</f>
        <v>435</v>
      </c>
      <c r="E7" s="12">
        <f>Analysis!Q3</f>
        <v>4.3574193548387106</v>
      </c>
      <c r="G7" s="11" t="str">
        <f>Analysis!Y3</f>
        <v>Astoria</v>
      </c>
      <c r="H7" s="12">
        <f>Analysis!Z3</f>
        <v>1502.5500000000002</v>
      </c>
      <c r="I7" s="13">
        <f>Analysis!AA3</f>
        <v>337</v>
      </c>
      <c r="J7" s="13">
        <f>Analysis!AB3</f>
        <v>484</v>
      </c>
      <c r="K7" s="12">
        <f>Analysis!AC3</f>
        <v>4.4586053412462912</v>
      </c>
    </row>
    <row r="8" spans="1:12" x14ac:dyDescent="0.3">
      <c r="A8" s="11" t="str">
        <f>Analysis!M4</f>
        <v>Evening</v>
      </c>
      <c r="B8" s="12">
        <f>Analysis!N4</f>
        <v>717.15000000000009</v>
      </c>
      <c r="C8" s="13">
        <f>Analysis!O4</f>
        <v>153</v>
      </c>
      <c r="D8" s="13">
        <f>Analysis!P4</f>
        <v>222</v>
      </c>
      <c r="E8" s="12">
        <f>Analysis!Q4</f>
        <v>4.6872549019607845</v>
      </c>
      <c r="G8" s="11" t="str">
        <f>Analysis!Y4</f>
        <v>Lower Manhattan</v>
      </c>
      <c r="H8" s="12">
        <f>Analysis!Z4</f>
        <v>1387.6500000000005</v>
      </c>
      <c r="I8" s="13">
        <f>Analysis!AA4</f>
        <v>324</v>
      </c>
      <c r="J8" s="13">
        <f>Analysis!AB4</f>
        <v>458</v>
      </c>
      <c r="K8" s="12">
        <f>Analysis!AC4</f>
        <v>4.2828703703703717</v>
      </c>
    </row>
    <row r="13" spans="1:12" ht="15.6" x14ac:dyDescent="0.3">
      <c r="A13" s="33" t="s">
        <v>165</v>
      </c>
      <c r="B13" s="31"/>
      <c r="C13" s="31"/>
      <c r="D13" s="31"/>
      <c r="E13" s="31"/>
      <c r="F13" s="31"/>
      <c r="G13" s="31"/>
      <c r="H13" s="31"/>
      <c r="I13" s="31"/>
      <c r="J13" s="31"/>
      <c r="K13" s="31"/>
      <c r="L13" s="31"/>
    </row>
    <row r="14" spans="1:12" x14ac:dyDescent="0.3">
      <c r="A14" s="34" t="s">
        <v>166</v>
      </c>
      <c r="B14" s="35"/>
      <c r="C14" s="35"/>
      <c r="D14" s="35"/>
      <c r="E14" s="35"/>
      <c r="F14" s="35"/>
      <c r="G14" s="35"/>
      <c r="H14" s="35"/>
      <c r="I14" s="35"/>
      <c r="J14" s="35"/>
      <c r="K14" s="35"/>
      <c r="L14" s="35"/>
    </row>
    <row r="15" spans="1:12" x14ac:dyDescent="0.3">
      <c r="A15" s="35"/>
      <c r="B15" s="35"/>
      <c r="C15" s="35"/>
      <c r="D15" s="35"/>
      <c r="E15" s="35"/>
      <c r="F15" s="35"/>
      <c r="G15" s="35"/>
      <c r="H15" s="35"/>
      <c r="I15" s="35"/>
      <c r="J15" s="35"/>
      <c r="K15" s="35"/>
      <c r="L15" s="35"/>
    </row>
    <row r="16" spans="1:12" x14ac:dyDescent="0.3">
      <c r="A16" s="35"/>
      <c r="B16" s="35"/>
      <c r="C16" s="35"/>
      <c r="D16" s="35"/>
      <c r="E16" s="35"/>
      <c r="F16" s="35"/>
      <c r="G16" s="35"/>
      <c r="H16" s="35"/>
      <c r="I16" s="35"/>
      <c r="J16" s="35"/>
      <c r="K16" s="35"/>
      <c r="L16" s="35"/>
    </row>
    <row r="17" spans="1:12" x14ac:dyDescent="0.3">
      <c r="A17" s="35"/>
      <c r="B17" s="35"/>
      <c r="C17" s="35"/>
      <c r="D17" s="35"/>
      <c r="E17" s="35"/>
      <c r="F17" s="35"/>
      <c r="G17" s="35"/>
      <c r="H17" s="35"/>
      <c r="I17" s="35"/>
      <c r="J17" s="35"/>
      <c r="K17" s="35"/>
      <c r="L17" s="35"/>
    </row>
  </sheetData>
  <mergeCells count="6">
    <mergeCell ref="A14:L17"/>
    <mergeCell ref="A1:L1"/>
    <mergeCell ref="A2:L2"/>
    <mergeCell ref="A4:F4"/>
    <mergeCell ref="G4:L4"/>
    <mergeCell ref="A13:L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4CAF9-DAC8-4106-BF13-7325F6711AB5}">
  <dimension ref="A1:L35"/>
  <sheetViews>
    <sheetView topLeftCell="A9" workbookViewId="0">
      <selection activeCell="C27" sqref="C27"/>
    </sheetView>
  </sheetViews>
  <sheetFormatPr defaultRowHeight="14.4" x14ac:dyDescent="0.3"/>
  <cols>
    <col min="1" max="1" width="16.6640625" customWidth="1"/>
    <col min="2" max="2" width="35.21875" customWidth="1"/>
    <col min="3" max="3" width="32.44140625" customWidth="1"/>
    <col min="4" max="4" width="42.5546875" customWidth="1"/>
    <col min="5" max="5" width="25.88671875" customWidth="1"/>
    <col min="6" max="6" width="14.77734375" customWidth="1"/>
    <col min="7" max="12" width="11.109375" customWidth="1"/>
  </cols>
  <sheetData>
    <row r="1" spans="1:12" ht="23.4" x14ac:dyDescent="0.45">
      <c r="A1" s="39" t="s">
        <v>315</v>
      </c>
      <c r="B1" s="28"/>
      <c r="C1" s="28"/>
      <c r="D1" s="28"/>
      <c r="E1" s="28"/>
      <c r="F1" s="28"/>
      <c r="G1" s="28"/>
      <c r="H1" s="28"/>
      <c r="I1" s="28"/>
      <c r="J1" s="28"/>
      <c r="K1" s="28"/>
      <c r="L1" s="28"/>
    </row>
    <row r="2" spans="1:12" x14ac:dyDescent="0.3">
      <c r="A2" s="29" t="s">
        <v>167</v>
      </c>
      <c r="B2" s="28"/>
      <c r="C2" s="28"/>
      <c r="D2" s="28"/>
      <c r="E2" s="28"/>
      <c r="F2" s="28"/>
      <c r="G2" s="28"/>
      <c r="H2" s="28"/>
      <c r="I2" s="28"/>
      <c r="J2" s="28"/>
      <c r="K2" s="28"/>
      <c r="L2" s="28"/>
    </row>
    <row r="3" spans="1:12" x14ac:dyDescent="0.3">
      <c r="A3" s="6"/>
      <c r="B3" s="6"/>
      <c r="C3" s="6"/>
      <c r="D3" s="6"/>
      <c r="E3" s="6"/>
      <c r="F3" s="6"/>
      <c r="G3" s="6"/>
      <c r="H3" s="6"/>
      <c r="I3" s="6"/>
      <c r="J3" s="6"/>
      <c r="K3" s="6"/>
      <c r="L3" s="6"/>
    </row>
    <row r="4" spans="1:12" ht="15.6" x14ac:dyDescent="0.3">
      <c r="A4" s="36" t="s">
        <v>168</v>
      </c>
      <c r="B4" s="28"/>
      <c r="C4" s="28"/>
      <c r="D4" s="28"/>
      <c r="E4" s="28"/>
      <c r="F4" s="28"/>
      <c r="G4" s="28"/>
      <c r="H4" s="28"/>
      <c r="I4" s="28"/>
      <c r="J4" s="28"/>
      <c r="K4" s="28"/>
      <c r="L4" s="28"/>
    </row>
    <row r="5" spans="1:12" x14ac:dyDescent="0.3">
      <c r="A5" s="16" t="s">
        <v>169</v>
      </c>
      <c r="B5" s="16" t="s">
        <v>170</v>
      </c>
      <c r="C5" s="16" t="s">
        <v>171</v>
      </c>
      <c r="D5" s="16" t="s">
        <v>172</v>
      </c>
      <c r="E5" s="16" t="s">
        <v>173</v>
      </c>
      <c r="F5" s="6"/>
      <c r="G5" s="6"/>
      <c r="H5" s="6"/>
      <c r="I5" s="6"/>
      <c r="J5" s="6"/>
      <c r="K5" s="6"/>
      <c r="L5" s="6"/>
    </row>
    <row r="6" spans="1:12" ht="28.8" x14ac:dyDescent="0.3">
      <c r="A6" s="25">
        <v>1</v>
      </c>
      <c r="B6" s="20" t="s">
        <v>174</v>
      </c>
      <c r="C6" s="20" t="s">
        <v>175</v>
      </c>
      <c r="D6" s="20" t="s">
        <v>176</v>
      </c>
      <c r="E6" s="17" t="s">
        <v>177</v>
      </c>
      <c r="F6" s="6"/>
      <c r="G6" s="6"/>
      <c r="H6" s="6"/>
      <c r="I6" s="6"/>
      <c r="J6" s="6"/>
      <c r="K6" s="6"/>
      <c r="L6" s="6"/>
    </row>
    <row r="7" spans="1:12" ht="43.2" x14ac:dyDescent="0.3">
      <c r="A7" s="25">
        <v>2</v>
      </c>
      <c r="B7" s="20" t="s">
        <v>178</v>
      </c>
      <c r="C7" s="20" t="s">
        <v>179</v>
      </c>
      <c r="D7" s="20" t="s">
        <v>180</v>
      </c>
      <c r="E7" s="17" t="s">
        <v>181</v>
      </c>
      <c r="F7" s="6"/>
      <c r="G7" s="6"/>
      <c r="H7" s="6"/>
      <c r="I7" s="6"/>
      <c r="J7" s="6"/>
      <c r="K7" s="6"/>
      <c r="L7" s="6"/>
    </row>
    <row r="8" spans="1:12" ht="43.2" x14ac:dyDescent="0.3">
      <c r="A8" s="25">
        <v>3</v>
      </c>
      <c r="B8" s="20" t="s">
        <v>182</v>
      </c>
      <c r="C8" s="20" t="s">
        <v>183</v>
      </c>
      <c r="D8" s="20" t="s">
        <v>184</v>
      </c>
      <c r="E8" s="17" t="s">
        <v>185</v>
      </c>
      <c r="F8" s="6"/>
      <c r="G8" s="6"/>
      <c r="H8" s="6"/>
      <c r="I8" s="6"/>
      <c r="J8" s="6"/>
      <c r="K8" s="6"/>
      <c r="L8" s="6"/>
    </row>
    <row r="9" spans="1:12" ht="28.8" x14ac:dyDescent="0.3">
      <c r="A9" s="25">
        <v>4</v>
      </c>
      <c r="B9" s="20" t="s">
        <v>186</v>
      </c>
      <c r="C9" s="20" t="s">
        <v>187</v>
      </c>
      <c r="D9" s="20" t="s">
        <v>188</v>
      </c>
      <c r="E9" s="17" t="s">
        <v>189</v>
      </c>
      <c r="F9" s="6"/>
      <c r="G9" s="6"/>
      <c r="H9" s="6"/>
      <c r="I9" s="6"/>
      <c r="J9" s="6"/>
      <c r="K9" s="6"/>
      <c r="L9" s="6"/>
    </row>
    <row r="10" spans="1:12" ht="28.8" x14ac:dyDescent="0.3">
      <c r="A10" s="25">
        <v>5</v>
      </c>
      <c r="B10" s="20" t="s">
        <v>190</v>
      </c>
      <c r="C10" s="20" t="s">
        <v>191</v>
      </c>
      <c r="D10" s="20" t="s">
        <v>192</v>
      </c>
      <c r="E10" s="17" t="s">
        <v>193</v>
      </c>
      <c r="F10" s="6"/>
      <c r="G10" s="6"/>
      <c r="H10" s="6"/>
      <c r="I10" s="6"/>
      <c r="J10" s="6"/>
      <c r="K10" s="6"/>
      <c r="L10" s="6"/>
    </row>
    <row r="11" spans="1:12" x14ac:dyDescent="0.3">
      <c r="A11" s="6"/>
      <c r="B11" s="6"/>
      <c r="C11" s="6"/>
      <c r="D11" s="6"/>
      <c r="E11" s="6"/>
      <c r="F11" s="6"/>
      <c r="G11" s="6"/>
      <c r="H11" s="6"/>
      <c r="I11" s="6"/>
      <c r="J11" s="6"/>
      <c r="K11" s="6"/>
      <c r="L11" s="6"/>
    </row>
    <row r="12" spans="1:12" ht="15.6" x14ac:dyDescent="0.3">
      <c r="A12" s="36" t="s">
        <v>194</v>
      </c>
      <c r="B12" s="28"/>
      <c r="C12" s="28"/>
      <c r="D12" s="28"/>
      <c r="E12" s="28"/>
      <c r="F12" s="28"/>
      <c r="G12" s="28"/>
      <c r="H12" s="28"/>
      <c r="I12" s="28"/>
      <c r="J12" s="28"/>
      <c r="K12" s="28"/>
      <c r="L12" s="28"/>
    </row>
    <row r="13" spans="1:12" x14ac:dyDescent="0.3">
      <c r="A13" s="37" t="s">
        <v>195</v>
      </c>
      <c r="B13" s="38"/>
      <c r="C13" s="38"/>
      <c r="D13" s="38"/>
      <c r="E13" s="38"/>
      <c r="F13" s="38"/>
      <c r="G13" s="38"/>
      <c r="H13" s="38"/>
      <c r="I13" s="38"/>
      <c r="J13" s="38"/>
      <c r="K13" s="38"/>
      <c r="L13" s="38"/>
    </row>
    <row r="14" spans="1:12" x14ac:dyDescent="0.3">
      <c r="A14" s="38"/>
      <c r="B14" s="38"/>
      <c r="C14" s="38"/>
      <c r="D14" s="38"/>
      <c r="E14" s="38"/>
      <c r="F14" s="38"/>
      <c r="G14" s="38"/>
      <c r="H14" s="38"/>
      <c r="I14" s="38"/>
      <c r="J14" s="38"/>
      <c r="K14" s="38"/>
      <c r="L14" s="38"/>
    </row>
    <row r="15" spans="1:12" x14ac:dyDescent="0.3">
      <c r="A15" s="38"/>
      <c r="B15" s="38"/>
      <c r="C15" s="38"/>
      <c r="D15" s="38"/>
      <c r="E15" s="38"/>
      <c r="F15" s="38"/>
      <c r="G15" s="38"/>
      <c r="H15" s="38"/>
      <c r="I15" s="38"/>
      <c r="J15" s="38"/>
      <c r="K15" s="38"/>
      <c r="L15" s="38"/>
    </row>
    <row r="16" spans="1:12" x14ac:dyDescent="0.3">
      <c r="A16" s="38"/>
      <c r="B16" s="38"/>
      <c r="C16" s="38"/>
      <c r="D16" s="38"/>
      <c r="E16" s="38"/>
      <c r="F16" s="38"/>
      <c r="G16" s="38"/>
      <c r="H16" s="38"/>
      <c r="I16" s="38"/>
      <c r="J16" s="38"/>
      <c r="K16" s="38"/>
      <c r="L16" s="38"/>
    </row>
    <row r="17" spans="1:12" x14ac:dyDescent="0.3">
      <c r="A17" s="6"/>
      <c r="B17" s="6"/>
      <c r="C17" s="6"/>
      <c r="D17" s="6"/>
      <c r="E17" s="6"/>
      <c r="F17" s="6"/>
      <c r="G17" s="6"/>
      <c r="H17" s="6"/>
      <c r="I17" s="6"/>
      <c r="J17" s="6"/>
      <c r="K17" s="6"/>
      <c r="L17" s="6"/>
    </row>
    <row r="18" spans="1:12" ht="15.6" x14ac:dyDescent="0.3">
      <c r="A18" s="36" t="s">
        <v>236</v>
      </c>
      <c r="B18" s="28"/>
      <c r="C18" s="28"/>
      <c r="D18" s="28"/>
      <c r="E18" s="28"/>
      <c r="F18" s="28"/>
      <c r="G18" s="28"/>
      <c r="H18" s="28"/>
      <c r="I18" s="28"/>
      <c r="J18" s="28"/>
      <c r="K18" s="28"/>
      <c r="L18" s="28"/>
    </row>
    <row r="19" spans="1:12" x14ac:dyDescent="0.3">
      <c r="A19" s="16" t="s">
        <v>237</v>
      </c>
      <c r="B19" s="16" t="s">
        <v>170</v>
      </c>
      <c r="C19" s="16" t="s">
        <v>238</v>
      </c>
      <c r="D19" s="16" t="s">
        <v>239</v>
      </c>
      <c r="E19" s="16" t="s">
        <v>240</v>
      </c>
      <c r="F19" s="16" t="s">
        <v>169</v>
      </c>
      <c r="G19" s="6"/>
      <c r="H19" s="6"/>
      <c r="I19" s="6"/>
      <c r="J19" s="6"/>
      <c r="K19" s="6"/>
      <c r="L19" s="6"/>
    </row>
    <row r="20" spans="1:12" ht="43.2" x14ac:dyDescent="0.3">
      <c r="A20" s="17" t="s">
        <v>241</v>
      </c>
      <c r="B20" s="20" t="s">
        <v>242</v>
      </c>
      <c r="C20" s="20" t="s">
        <v>243</v>
      </c>
      <c r="D20" s="20" t="s">
        <v>244</v>
      </c>
      <c r="E20" s="20" t="s">
        <v>245</v>
      </c>
      <c r="F20" s="25" t="s">
        <v>246</v>
      </c>
      <c r="G20" s="6"/>
      <c r="H20" s="6"/>
      <c r="I20" s="6"/>
      <c r="J20" s="6"/>
      <c r="K20" s="6"/>
      <c r="L20" s="6"/>
    </row>
    <row r="21" spans="1:12" ht="43.2" x14ac:dyDescent="0.3">
      <c r="A21" s="17" t="s">
        <v>247</v>
      </c>
      <c r="B21" s="20" t="s">
        <v>248</v>
      </c>
      <c r="C21" s="20" t="s">
        <v>249</v>
      </c>
      <c r="D21" s="20" t="s">
        <v>250</v>
      </c>
      <c r="E21" s="20" t="s">
        <v>251</v>
      </c>
      <c r="F21" s="25" t="s">
        <v>246</v>
      </c>
      <c r="G21" s="6"/>
      <c r="H21" s="6"/>
      <c r="I21" s="6"/>
      <c r="J21" s="6"/>
      <c r="K21" s="6"/>
      <c r="L21" s="6"/>
    </row>
    <row r="22" spans="1:12" ht="43.2" x14ac:dyDescent="0.3">
      <c r="A22" s="17" t="s">
        <v>252</v>
      </c>
      <c r="B22" s="20" t="s">
        <v>253</v>
      </c>
      <c r="C22" s="20" t="s">
        <v>254</v>
      </c>
      <c r="D22" s="20" t="s">
        <v>255</v>
      </c>
      <c r="E22" s="20" t="s">
        <v>256</v>
      </c>
      <c r="F22" s="25" t="s">
        <v>246</v>
      </c>
      <c r="G22" s="6"/>
      <c r="H22" s="6"/>
      <c r="I22" s="6"/>
      <c r="J22" s="6"/>
      <c r="K22" s="6"/>
      <c r="L22" s="6"/>
    </row>
    <row r="23" spans="1:12" ht="28.8" x14ac:dyDescent="0.3">
      <c r="A23" s="17" t="s">
        <v>257</v>
      </c>
      <c r="B23" s="20" t="s">
        <v>225</v>
      </c>
      <c r="C23" s="20" t="s">
        <v>258</v>
      </c>
      <c r="D23" s="20" t="s">
        <v>259</v>
      </c>
      <c r="E23" s="20" t="s">
        <v>260</v>
      </c>
      <c r="F23" s="25" t="s">
        <v>261</v>
      </c>
      <c r="G23" s="6"/>
      <c r="H23" s="6"/>
      <c r="I23" s="6"/>
      <c r="J23" s="6"/>
      <c r="K23" s="6"/>
      <c r="L23" s="6"/>
    </row>
    <row r="24" spans="1:12" ht="43.2" x14ac:dyDescent="0.3">
      <c r="A24" s="17" t="s">
        <v>262</v>
      </c>
      <c r="B24" s="20" t="s">
        <v>263</v>
      </c>
      <c r="C24" s="20" t="s">
        <v>229</v>
      </c>
      <c r="D24" s="20" t="s">
        <v>264</v>
      </c>
      <c r="E24" s="20" t="s">
        <v>265</v>
      </c>
      <c r="F24" s="25" t="s">
        <v>261</v>
      </c>
      <c r="G24" s="6"/>
      <c r="H24" s="6"/>
      <c r="I24" s="6"/>
      <c r="J24" s="6"/>
      <c r="K24" s="6"/>
      <c r="L24" s="6"/>
    </row>
    <row r="25" spans="1:12" ht="43.2" x14ac:dyDescent="0.3">
      <c r="A25" s="17" t="s">
        <v>266</v>
      </c>
      <c r="B25" s="20" t="s">
        <v>267</v>
      </c>
      <c r="C25" s="20" t="s">
        <v>268</v>
      </c>
      <c r="D25" s="20" t="s">
        <v>269</v>
      </c>
      <c r="E25" s="20" t="s">
        <v>270</v>
      </c>
      <c r="F25" s="25" t="s">
        <v>261</v>
      </c>
      <c r="G25" s="6"/>
      <c r="H25" s="6"/>
      <c r="I25" s="6"/>
      <c r="J25" s="6"/>
      <c r="K25" s="6"/>
      <c r="L25" s="6"/>
    </row>
    <row r="26" spans="1:12" ht="28.8" x14ac:dyDescent="0.3">
      <c r="A26" s="17" t="s">
        <v>271</v>
      </c>
      <c r="B26" s="20" t="s">
        <v>272</v>
      </c>
      <c r="C26" s="20" t="s">
        <v>273</v>
      </c>
      <c r="D26" s="20" t="s">
        <v>274</v>
      </c>
      <c r="E26" s="20" t="s">
        <v>275</v>
      </c>
      <c r="F26" s="25" t="s">
        <v>261</v>
      </c>
      <c r="G26" s="6"/>
      <c r="H26" s="6"/>
      <c r="I26" s="6"/>
      <c r="J26" s="6"/>
      <c r="K26" s="6"/>
      <c r="L26" s="6"/>
    </row>
    <row r="27" spans="1:12" ht="28.8" x14ac:dyDescent="0.3">
      <c r="A27" s="17" t="s">
        <v>276</v>
      </c>
      <c r="B27" s="20" t="s">
        <v>277</v>
      </c>
      <c r="C27" s="20" t="s">
        <v>278</v>
      </c>
      <c r="D27" s="20" t="s">
        <v>279</v>
      </c>
      <c r="E27" s="20" t="s">
        <v>280</v>
      </c>
      <c r="F27" s="25" t="s">
        <v>246</v>
      </c>
      <c r="G27" s="6"/>
      <c r="H27" s="6"/>
      <c r="I27" s="6"/>
      <c r="J27" s="6"/>
      <c r="K27" s="6"/>
      <c r="L27" s="6"/>
    </row>
    <row r="28" spans="1:12" x14ac:dyDescent="0.3">
      <c r="A28" s="6"/>
      <c r="B28" s="6"/>
      <c r="C28" s="6"/>
      <c r="D28" s="6"/>
      <c r="E28" s="6"/>
      <c r="F28" s="6"/>
      <c r="G28" s="6"/>
      <c r="H28" s="6"/>
      <c r="I28" s="6"/>
      <c r="J28" s="6"/>
      <c r="K28" s="6"/>
      <c r="L28" s="6"/>
    </row>
    <row r="29" spans="1:12" x14ac:dyDescent="0.3">
      <c r="A29" s="6"/>
      <c r="B29" s="6"/>
      <c r="C29" s="6"/>
      <c r="D29" s="6"/>
      <c r="E29" s="6"/>
      <c r="F29" s="6"/>
      <c r="G29" s="6"/>
      <c r="H29" s="6"/>
      <c r="I29" s="6"/>
      <c r="J29" s="6"/>
      <c r="K29" s="6"/>
      <c r="L29" s="6"/>
    </row>
    <row r="30" spans="1:12" ht="15.6" x14ac:dyDescent="0.3">
      <c r="A30" s="36" t="s">
        <v>281</v>
      </c>
      <c r="B30" s="28"/>
      <c r="C30" s="28"/>
      <c r="D30" s="28"/>
      <c r="E30" s="28"/>
      <c r="F30" s="28"/>
      <c r="G30" s="28"/>
      <c r="H30" s="28"/>
      <c r="I30" s="28"/>
      <c r="J30" s="28"/>
      <c r="K30" s="28"/>
      <c r="L30" s="28"/>
    </row>
    <row r="31" spans="1:12" x14ac:dyDescent="0.3">
      <c r="A31" s="37" t="s">
        <v>282</v>
      </c>
      <c r="B31" s="38"/>
      <c r="C31" s="38"/>
      <c r="D31" s="38"/>
      <c r="E31" s="38"/>
      <c r="F31" s="38"/>
      <c r="G31" s="38"/>
      <c r="H31" s="38"/>
      <c r="I31" s="38"/>
      <c r="J31" s="38"/>
      <c r="K31" s="38"/>
      <c r="L31" s="38"/>
    </row>
    <row r="32" spans="1:12" x14ac:dyDescent="0.3">
      <c r="A32" s="38"/>
      <c r="B32" s="38"/>
      <c r="C32" s="38"/>
      <c r="D32" s="38"/>
      <c r="E32" s="38"/>
      <c r="F32" s="38"/>
      <c r="G32" s="38"/>
      <c r="H32" s="38"/>
      <c r="I32" s="38"/>
      <c r="J32" s="38"/>
      <c r="K32" s="38"/>
      <c r="L32" s="38"/>
    </row>
    <row r="33" spans="1:12" x14ac:dyDescent="0.3">
      <c r="A33" s="38"/>
      <c r="B33" s="38"/>
      <c r="C33" s="38"/>
      <c r="D33" s="38"/>
      <c r="E33" s="38"/>
      <c r="F33" s="38"/>
      <c r="G33" s="38"/>
      <c r="H33" s="38"/>
      <c r="I33" s="38"/>
      <c r="J33" s="38"/>
      <c r="K33" s="38"/>
      <c r="L33" s="38"/>
    </row>
    <row r="34" spans="1:12" x14ac:dyDescent="0.3">
      <c r="A34" s="38"/>
      <c r="B34" s="38"/>
      <c r="C34" s="38"/>
      <c r="D34" s="38"/>
      <c r="E34" s="38"/>
      <c r="F34" s="38"/>
      <c r="G34" s="38"/>
      <c r="H34" s="38"/>
      <c r="I34" s="38"/>
      <c r="J34" s="38"/>
      <c r="K34" s="38"/>
      <c r="L34" s="38"/>
    </row>
    <row r="35" spans="1:12" x14ac:dyDescent="0.3">
      <c r="A35" s="38"/>
      <c r="B35" s="38"/>
      <c r="C35" s="38"/>
      <c r="D35" s="38"/>
      <c r="E35" s="38"/>
      <c r="F35" s="38"/>
      <c r="G35" s="38"/>
      <c r="H35" s="38"/>
      <c r="I35" s="38"/>
      <c r="J35" s="38"/>
      <c r="K35" s="38"/>
      <c r="L35" s="38"/>
    </row>
  </sheetData>
  <mergeCells count="8">
    <mergeCell ref="A30:L30"/>
    <mergeCell ref="A31:L35"/>
    <mergeCell ref="A1:L1"/>
    <mergeCell ref="A2:L2"/>
    <mergeCell ref="A4:L4"/>
    <mergeCell ref="A12:L12"/>
    <mergeCell ref="A13:L16"/>
    <mergeCell ref="A18:L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C7F8-7370-4F35-881E-06244ED7A150}">
  <dimension ref="A1:AU14"/>
  <sheetViews>
    <sheetView workbookViewId="0"/>
  </sheetViews>
  <sheetFormatPr defaultRowHeight="14.4" x14ac:dyDescent="0.3"/>
  <sheetData>
    <row r="1" spans="1:47" x14ac:dyDescent="0.3">
      <c r="A1" s="9" t="s">
        <v>133</v>
      </c>
      <c r="B1" s="9" t="s">
        <v>134</v>
      </c>
      <c r="C1" s="9" t="s">
        <v>135</v>
      </c>
      <c r="D1" s="9" t="s">
        <v>136</v>
      </c>
      <c r="E1" s="9" t="s">
        <v>137</v>
      </c>
      <c r="G1" s="9" t="s">
        <v>138</v>
      </c>
      <c r="H1" s="9" t="s">
        <v>134</v>
      </c>
      <c r="I1" s="9" t="s">
        <v>135</v>
      </c>
      <c r="J1" s="9" t="s">
        <v>136</v>
      </c>
      <c r="K1" s="9" t="s">
        <v>137</v>
      </c>
      <c r="M1" s="9" t="s">
        <v>139</v>
      </c>
      <c r="N1" s="9" t="s">
        <v>134</v>
      </c>
      <c r="O1" s="9" t="s">
        <v>135</v>
      </c>
      <c r="P1" s="9" t="s">
        <v>136</v>
      </c>
      <c r="Q1" s="9" t="s">
        <v>137</v>
      </c>
      <c r="S1" s="9" t="s">
        <v>140</v>
      </c>
      <c r="T1" s="9" t="s">
        <v>134</v>
      </c>
      <c r="U1" s="9" t="s">
        <v>135</v>
      </c>
      <c r="V1" s="9" t="s">
        <v>136</v>
      </c>
      <c r="W1" s="9" t="s">
        <v>137</v>
      </c>
      <c r="Y1" s="9" t="s">
        <v>141</v>
      </c>
      <c r="Z1" s="9" t="s">
        <v>134</v>
      </c>
      <c r="AA1" s="9" t="s">
        <v>135</v>
      </c>
      <c r="AB1" s="9" t="s">
        <v>136</v>
      </c>
      <c r="AC1" s="9" t="s">
        <v>137</v>
      </c>
      <c r="AE1" s="9" t="s">
        <v>142</v>
      </c>
      <c r="AF1" s="9" t="s">
        <v>134</v>
      </c>
      <c r="AG1" s="9" t="s">
        <v>135</v>
      </c>
      <c r="AH1" s="9" t="s">
        <v>136</v>
      </c>
      <c r="AI1" s="9" t="s">
        <v>137</v>
      </c>
      <c r="AK1" s="9" t="s">
        <v>143</v>
      </c>
      <c r="AL1" s="9" t="s">
        <v>134</v>
      </c>
      <c r="AM1" s="9" t="s">
        <v>135</v>
      </c>
      <c r="AN1" s="9" t="s">
        <v>136</v>
      </c>
      <c r="AO1" s="9" t="s">
        <v>137</v>
      </c>
      <c r="AQ1" s="9" t="s">
        <v>133</v>
      </c>
      <c r="AR1" s="9" t="s">
        <v>22</v>
      </c>
      <c r="AS1" s="9" t="s">
        <v>120</v>
      </c>
      <c r="AT1" s="9" t="s">
        <v>123</v>
      </c>
      <c r="AU1" s="9" t="s">
        <v>198</v>
      </c>
    </row>
    <row r="2" spans="1:47" x14ac:dyDescent="0.3">
      <c r="A2" t="s">
        <v>24</v>
      </c>
      <c r="B2" s="7">
        <f>SUMIFS(Bright_Coffee_Shop_dataset[revenue],Bright_Coffee_Shop_dataset[product_category],A2)</f>
        <v>2037.5000000000018</v>
      </c>
      <c r="C2" s="8">
        <f>COUNTIFS(Bright_Coffee_Shop_dataset[product_category],A2)</f>
        <v>444</v>
      </c>
      <c r="D2" s="8">
        <f>SUMIFS(Bright_Coffee_Shop_dataset[transaction_qty],Bright_Coffee_Shop_dataset[product_category],A2)</f>
        <v>675</v>
      </c>
      <c r="E2" s="7">
        <f>IFERROR(B2/C2,0)</f>
        <v>4.5889639639639679</v>
      </c>
      <c r="G2" t="s">
        <v>48</v>
      </c>
      <c r="H2" s="7">
        <f>SUMIFS(Bright_Coffee_Shop_dataset[revenue],Bright_Coffee_Shop_dataset[product_type],G2)</f>
        <v>649.25</v>
      </c>
      <c r="I2" s="8">
        <f>COUNTIFS(Bright_Coffee_Shop_dataset[product_type],G2)</f>
        <v>115</v>
      </c>
      <c r="J2" s="8">
        <f>SUMIFS(Bright_Coffee_Shop_dataset[transaction_qty],Bright_Coffee_Shop_dataset[product_type],G2)</f>
        <v>175</v>
      </c>
      <c r="K2" s="7">
        <f t="shared" ref="K2:K14" si="0">IFERROR(H2/I2,0)</f>
        <v>5.6456521739130432</v>
      </c>
      <c r="M2" t="s">
        <v>120</v>
      </c>
      <c r="N2" s="7">
        <f>SUMIFS(Bright_Coffee_Shop_dataset[revenue],Bright_Coffee_Shop_dataset[time_of_day],M2)</f>
        <v>2328.2499999999995</v>
      </c>
      <c r="O2" s="8">
        <f>COUNTIFS(Bright_Coffee_Shop_dataset[time_of_day],M2)</f>
        <v>537</v>
      </c>
      <c r="P2" s="8">
        <f>SUMIFS(Bright_Coffee_Shop_dataset[transaction_qty],Bright_Coffee_Shop_dataset[time_of_day],M2)</f>
        <v>770</v>
      </c>
      <c r="Q2" s="7">
        <f>IFERROR(N2/O2,0)</f>
        <v>4.3356610800744875</v>
      </c>
      <c r="S2">
        <v>7</v>
      </c>
      <c r="T2" s="7">
        <f>SUMIFS(Bright_Coffee_Shop_dataset[revenue],Bright_Coffee_Shop_dataset[hour],S2)</f>
        <v>136.14999999999998</v>
      </c>
      <c r="U2" s="8">
        <f>COUNTIFS(Bright_Coffee_Shop_dataset[hour],S2)</f>
        <v>31</v>
      </c>
      <c r="V2" s="8">
        <f>SUMIFS(Bright_Coffee_Shop_dataset[transaction_qty],Bright_Coffee_Shop_dataset[hour],S2)</f>
        <v>43</v>
      </c>
      <c r="W2" s="7">
        <f t="shared" ref="W2:W14" si="1">IFERROR(T2/U2,0)</f>
        <v>4.3919354838709674</v>
      </c>
      <c r="Y2" t="s">
        <v>64</v>
      </c>
      <c r="Z2" s="7">
        <f>SUMIFS(Bright_Coffee_Shop_dataset[revenue],Bright_Coffee_Shop_dataset[store_location],Y2)</f>
        <v>1506</v>
      </c>
      <c r="AA2" s="8">
        <f>COUNTIFS(Bright_Coffee_Shop_dataset[store_location],Y2)</f>
        <v>339</v>
      </c>
      <c r="AB2" s="8">
        <f>SUMIFS(Bright_Coffee_Shop_dataset[transaction_qty],Bright_Coffee_Shop_dataset[store_location],Y2)</f>
        <v>485</v>
      </c>
      <c r="AC2" s="7">
        <f>IFERROR(Z2/AA2,0)</f>
        <v>4.4424778761061949</v>
      </c>
      <c r="AE2">
        <v>1</v>
      </c>
      <c r="AF2" s="7">
        <f>SUMIFS(Bright_Coffee_Shop_dataset[revenue],Bright_Coffee_Shop_dataset[day],AE2)</f>
        <v>2508.2000000000007</v>
      </c>
      <c r="AG2" s="8">
        <f>COUNTIFS(Bright_Coffee_Shop_dataset[day],AE2)</f>
        <v>550</v>
      </c>
      <c r="AH2" s="8">
        <f>SUMIFS(Bright_Coffee_Shop_dataset[transaction_qty],Bright_Coffee_Shop_dataset[day],AE2)</f>
        <v>802</v>
      </c>
      <c r="AI2" s="7">
        <f>IFERROR(AF2/AG2,0)</f>
        <v>4.560363636363638</v>
      </c>
      <c r="AK2" t="s">
        <v>125</v>
      </c>
      <c r="AL2" s="7">
        <f>SUMIFS(Bright_Coffee_Shop_dataset[revenue],Bright_Coffee_Shop_dataset[Day_classification],AK2)</f>
        <v>1888.0000000000009</v>
      </c>
      <c r="AM2" s="8">
        <f>COUNTIFS(Bright_Coffee_Shop_dataset[Day_classification],AK2)</f>
        <v>450</v>
      </c>
      <c r="AN2" s="8">
        <f>SUMIFS(Bright_Coffee_Shop_dataset[transaction_qty],Bright_Coffee_Shop_dataset[Day_classification],AK2)</f>
        <v>625</v>
      </c>
      <c r="AO2" s="7">
        <f>IFERROR(AL2/AM2,0)</f>
        <v>4.1955555555555577</v>
      </c>
      <c r="AQ2" t="s">
        <v>24</v>
      </c>
      <c r="AR2" s="15">
        <f>SUMIFS(Bright_Coffee_Shop_dataset[revenue],Bright_Coffee_Shop_dataset[product_category],AQ2,Bright_Coffee_Shop_dataset[time_of_day],AR$1)</f>
        <v>610.19999999999993</v>
      </c>
      <c r="AS2" s="15">
        <f>SUMIFS(Bright_Coffee_Shop_dataset[revenue],Bright_Coffee_Shop_dataset[product_category],AQ2,Bright_Coffee_Shop_dataset[time_of_day],AS$1)</f>
        <v>1118.8500000000004</v>
      </c>
      <c r="AT2" s="15">
        <f>SUMIFS(Bright_Coffee_Shop_dataset[revenue],Bright_Coffee_Shop_dataset[product_category],AQ2,Bright_Coffee_Shop_dataset[time_of_day],AT$1)</f>
        <v>308.45</v>
      </c>
      <c r="AU2" s="15">
        <f>SUM(AR2:AT2)</f>
        <v>2037.5000000000002</v>
      </c>
    </row>
    <row r="3" spans="1:47" x14ac:dyDescent="0.3">
      <c r="A3" t="s">
        <v>30</v>
      </c>
      <c r="B3" s="7">
        <f>SUMIFS(Bright_Coffee_Shop_dataset[revenue],Bright_Coffee_Shop_dataset[product_category],A3)</f>
        <v>1421.6999999999996</v>
      </c>
      <c r="C3" s="8">
        <f>COUNTIFS(Bright_Coffee_Shop_dataset[product_category],A3)</f>
        <v>344</v>
      </c>
      <c r="D3" s="8">
        <f>SUMIFS(Bright_Coffee_Shop_dataset[transaction_qty],Bright_Coffee_Shop_dataset[product_category],A3)</f>
        <v>506</v>
      </c>
      <c r="E3" s="7">
        <f>IFERROR(B3/C3,0)</f>
        <v>4.1328488372093011</v>
      </c>
      <c r="G3" t="s">
        <v>31</v>
      </c>
      <c r="H3" s="7">
        <f>SUMIFS(Bright_Coffee_Shop_dataset[revenue],Bright_Coffee_Shop_dataset[product_type],G3)</f>
        <v>556.20000000000027</v>
      </c>
      <c r="I3" s="8">
        <f>COUNTIFS(Bright_Coffee_Shop_dataset[product_type],G3)</f>
        <v>134</v>
      </c>
      <c r="J3" s="8">
        <f>SUMIFS(Bright_Coffee_Shop_dataset[transaction_qty],Bright_Coffee_Shop_dataset[product_type],G3)</f>
        <v>191</v>
      </c>
      <c r="K3" s="7">
        <f t="shared" si="0"/>
        <v>4.150746268656718</v>
      </c>
      <c r="M3" t="s">
        <v>22</v>
      </c>
      <c r="N3" s="7">
        <f>SUMIFS(Bright_Coffee_Shop_dataset[revenue],Bright_Coffee_Shop_dataset[time_of_day],M3)</f>
        <v>1350.8000000000004</v>
      </c>
      <c r="O3" s="8">
        <f>COUNTIFS(Bright_Coffee_Shop_dataset[time_of_day],M3)</f>
        <v>310</v>
      </c>
      <c r="P3" s="8">
        <f>SUMIFS(Bright_Coffee_Shop_dataset[transaction_qty],Bright_Coffee_Shop_dataset[time_of_day],M3)</f>
        <v>435</v>
      </c>
      <c r="Q3" s="7">
        <f>IFERROR(N3/O3,0)</f>
        <v>4.3574193548387106</v>
      </c>
      <c r="S3">
        <v>8</v>
      </c>
      <c r="T3" s="7">
        <f>SUMIFS(Bright_Coffee_Shop_dataset[revenue],Bright_Coffee_Shop_dataset[hour],S3)</f>
        <v>192.85</v>
      </c>
      <c r="U3" s="8">
        <f>COUNTIFS(Bright_Coffee_Shop_dataset[hour],S3)</f>
        <v>45</v>
      </c>
      <c r="V3" s="8">
        <f>SUMIFS(Bright_Coffee_Shop_dataset[transaction_qty],Bright_Coffee_Shop_dataset[hour],S3)</f>
        <v>62</v>
      </c>
      <c r="W3" s="7">
        <f t="shared" si="1"/>
        <v>4.2855555555555558</v>
      </c>
      <c r="Y3" t="s">
        <v>114</v>
      </c>
      <c r="Z3" s="7">
        <f>SUMIFS(Bright_Coffee_Shop_dataset[revenue],Bright_Coffee_Shop_dataset[store_location],Y3)</f>
        <v>1502.5500000000002</v>
      </c>
      <c r="AA3" s="8">
        <f>COUNTIFS(Bright_Coffee_Shop_dataset[store_location],Y3)</f>
        <v>337</v>
      </c>
      <c r="AB3" s="8">
        <f>SUMIFS(Bright_Coffee_Shop_dataset[transaction_qty],Bright_Coffee_Shop_dataset[store_location],Y3)</f>
        <v>484</v>
      </c>
      <c r="AC3" s="7">
        <f>IFERROR(Z3/AA3,0)</f>
        <v>4.4586053412462912</v>
      </c>
      <c r="AE3">
        <v>2</v>
      </c>
      <c r="AF3" s="7">
        <f>SUMIFS(Bright_Coffee_Shop_dataset[revenue],Bright_Coffee_Shop_dataset[day],AE3)</f>
        <v>1888.0000000000009</v>
      </c>
      <c r="AG3" s="8">
        <f>COUNTIFS(Bright_Coffee_Shop_dataset[day],AE3)</f>
        <v>450</v>
      </c>
      <c r="AH3" s="8">
        <f>SUMIFS(Bright_Coffee_Shop_dataset[transaction_qty],Bright_Coffee_Shop_dataset[day],AE3)</f>
        <v>625</v>
      </c>
      <c r="AI3" s="7">
        <f>IFERROR(AF3/AG3,0)</f>
        <v>4.1955555555555577</v>
      </c>
      <c r="AK3" t="s">
        <v>29</v>
      </c>
      <c r="AL3" s="7">
        <f>SUMIFS(Bright_Coffee_Shop_dataset[revenue],Bright_Coffee_Shop_dataset[Day_classification],AK3)</f>
        <v>2508.2000000000007</v>
      </c>
      <c r="AM3" s="8">
        <f>COUNTIFS(Bright_Coffee_Shop_dataset[Day_classification],AK3)</f>
        <v>550</v>
      </c>
      <c r="AN3" s="8">
        <f>SUMIFS(Bright_Coffee_Shop_dataset[transaction_qty],Bright_Coffee_Shop_dataset[Day_classification],AK3)</f>
        <v>802</v>
      </c>
      <c r="AO3" s="7">
        <f>IFERROR(AL3/AM3,0)</f>
        <v>4.560363636363638</v>
      </c>
      <c r="AQ3" t="s">
        <v>30</v>
      </c>
      <c r="AR3" s="15">
        <f>SUMIFS(Bright_Coffee_Shop_dataset[revenue],Bright_Coffee_Shop_dataset[product_category],AQ3,Bright_Coffee_Shop_dataset[time_of_day],AR$1)</f>
        <v>408.35</v>
      </c>
      <c r="AS3" s="15">
        <f>SUMIFS(Bright_Coffee_Shop_dataset[revenue],Bright_Coffee_Shop_dataset[product_category],AQ3,Bright_Coffee_Shop_dataset[time_of_day],AS$1)</f>
        <v>766.65000000000009</v>
      </c>
      <c r="AT3" s="15">
        <f>SUMIFS(Bright_Coffee_Shop_dataset[revenue],Bright_Coffee_Shop_dataset[product_category],AQ3,Bright_Coffee_Shop_dataset[time_of_day],AT$1)</f>
        <v>246.7</v>
      </c>
      <c r="AU3" s="15">
        <f>SUM(AR3:AT3)</f>
        <v>1421.7</v>
      </c>
    </row>
    <row r="4" spans="1:47" x14ac:dyDescent="0.3">
      <c r="A4" t="s">
        <v>43</v>
      </c>
      <c r="B4" s="7">
        <f>SUMIFS(Bright_Coffee_Shop_dataset[revenue],Bright_Coffee_Shop_dataset[product_category],A4)</f>
        <v>471</v>
      </c>
      <c r="C4" s="8">
        <f>COUNTIFS(Bright_Coffee_Shop_dataset[product_category],A4)</f>
        <v>132</v>
      </c>
      <c r="D4" s="8">
        <f>SUMIFS(Bright_Coffee_Shop_dataset[transaction_qty],Bright_Coffee_Shop_dataset[product_category],A4)</f>
        <v>132</v>
      </c>
      <c r="E4" s="7">
        <f>IFERROR(B4/C4,0)</f>
        <v>3.5681818181818183</v>
      </c>
      <c r="G4" t="s">
        <v>25</v>
      </c>
      <c r="H4" s="7">
        <f>SUMIFS(Bright_Coffee_Shop_dataset[revenue],Bright_Coffee_Shop_dataset[product_type],G4)</f>
        <v>487.69999999999987</v>
      </c>
      <c r="I4" s="8">
        <f>COUNTIFS(Bright_Coffee_Shop_dataset[product_type],G4)</f>
        <v>116</v>
      </c>
      <c r="J4" s="8">
        <f>SUMIFS(Bright_Coffee_Shop_dataset[transaction_qty],Bright_Coffee_Shop_dataset[product_type],G4)</f>
        <v>183</v>
      </c>
      <c r="K4" s="7">
        <f t="shared" si="0"/>
        <v>4.2043103448275847</v>
      </c>
      <c r="M4" t="s">
        <v>123</v>
      </c>
      <c r="N4" s="7">
        <f>SUMIFS(Bright_Coffee_Shop_dataset[revenue],Bright_Coffee_Shop_dataset[time_of_day],M4)</f>
        <v>717.15000000000009</v>
      </c>
      <c r="O4" s="8">
        <f>COUNTIFS(Bright_Coffee_Shop_dataset[time_of_day],M4)</f>
        <v>153</v>
      </c>
      <c r="P4" s="8">
        <f>SUMIFS(Bright_Coffee_Shop_dataset[transaction_qty],Bright_Coffee_Shop_dataset[time_of_day],M4)</f>
        <v>222</v>
      </c>
      <c r="Q4" s="7">
        <f>IFERROR(N4/O4,0)</f>
        <v>4.6872549019607845</v>
      </c>
      <c r="S4">
        <v>9</v>
      </c>
      <c r="T4" s="7">
        <f>SUMIFS(Bright_Coffee_Shop_dataset[revenue],Bright_Coffee_Shop_dataset[hour],S4)</f>
        <v>324.59999999999997</v>
      </c>
      <c r="U4" s="8">
        <f>COUNTIFS(Bright_Coffee_Shop_dataset[hour],S4)</f>
        <v>76</v>
      </c>
      <c r="V4" s="8">
        <f>SUMIFS(Bright_Coffee_Shop_dataset[transaction_qty],Bright_Coffee_Shop_dataset[hour],S4)</f>
        <v>104</v>
      </c>
      <c r="W4" s="7">
        <f t="shared" si="1"/>
        <v>4.2710526315789465</v>
      </c>
      <c r="Y4" t="s">
        <v>23</v>
      </c>
      <c r="Z4" s="7">
        <f>SUMIFS(Bright_Coffee_Shop_dataset[revenue],Bright_Coffee_Shop_dataset[store_location],Y4)</f>
        <v>1387.6500000000005</v>
      </c>
      <c r="AA4" s="8">
        <f>COUNTIFS(Bright_Coffee_Shop_dataset[store_location],Y4)</f>
        <v>324</v>
      </c>
      <c r="AB4" s="8">
        <f>SUMIFS(Bright_Coffee_Shop_dataset[transaction_qty],Bright_Coffee_Shop_dataset[store_location],Y4)</f>
        <v>458</v>
      </c>
      <c r="AC4" s="7">
        <f>IFERROR(Z4/AA4,0)</f>
        <v>4.2828703703703717</v>
      </c>
      <c r="AQ4" t="s">
        <v>43</v>
      </c>
      <c r="AR4" s="15">
        <f>SUMIFS(Bright_Coffee_Shop_dataset[revenue],Bright_Coffee_Shop_dataset[product_category],AQ4,Bright_Coffee_Shop_dataset[time_of_day],AR$1)</f>
        <v>158.5</v>
      </c>
      <c r="AS4" s="15">
        <f>SUMIFS(Bright_Coffee_Shop_dataset[revenue],Bright_Coffee_Shop_dataset[product_category],AQ4,Bright_Coffee_Shop_dataset[time_of_day],AS$1)</f>
        <v>245.25</v>
      </c>
      <c r="AT4" s="15">
        <f>SUMIFS(Bright_Coffee_Shop_dataset[revenue],Bright_Coffee_Shop_dataset[product_category],AQ4,Bright_Coffee_Shop_dataset[time_of_day],AT$1)</f>
        <v>67.25</v>
      </c>
      <c r="AU4" s="15">
        <f>SUM(AR4:AT4)</f>
        <v>471</v>
      </c>
    </row>
    <row r="5" spans="1:47" x14ac:dyDescent="0.3">
      <c r="A5" t="s">
        <v>35</v>
      </c>
      <c r="B5" s="7">
        <f>SUMIFS(Bright_Coffee_Shop_dataset[revenue],Bright_Coffee_Shop_dataset[product_category],A5)</f>
        <v>466</v>
      </c>
      <c r="C5" s="8">
        <f>COUNTIFS(Bright_Coffee_Shop_dataset[product_category],A5)</f>
        <v>80</v>
      </c>
      <c r="D5" s="8">
        <f>SUMIFS(Bright_Coffee_Shop_dataset[transaction_qty],Bright_Coffee_Shop_dataset[product_category],A5)</f>
        <v>114</v>
      </c>
      <c r="E5" s="7">
        <f>IFERROR(B5/C5,0)</f>
        <v>5.8250000000000002</v>
      </c>
      <c r="G5" t="s">
        <v>36</v>
      </c>
      <c r="H5" s="7">
        <f>SUMIFS(Bright_Coffee_Shop_dataset[revenue],Bright_Coffee_Shop_dataset[product_type],G5)</f>
        <v>466</v>
      </c>
      <c r="I5" s="8">
        <f>COUNTIFS(Bright_Coffee_Shop_dataset[product_type],G5)</f>
        <v>80</v>
      </c>
      <c r="J5" s="8">
        <f>SUMIFS(Bright_Coffee_Shop_dataset[transaction_qty],Bright_Coffee_Shop_dataset[product_type],G5)</f>
        <v>114</v>
      </c>
      <c r="K5" s="7">
        <f t="shared" si="0"/>
        <v>5.8250000000000002</v>
      </c>
      <c r="S5">
        <v>10</v>
      </c>
      <c r="T5" s="7">
        <f>SUMIFS(Bright_Coffee_Shop_dataset[revenue],Bright_Coffee_Shop_dataset[hour],S5)</f>
        <v>222.89999999999998</v>
      </c>
      <c r="U5" s="8">
        <f>COUNTIFS(Bright_Coffee_Shop_dataset[hour],S5)</f>
        <v>52</v>
      </c>
      <c r="V5" s="8">
        <f>SUMIFS(Bright_Coffee_Shop_dataset[transaction_qty],Bright_Coffee_Shop_dataset[hour],S5)</f>
        <v>71</v>
      </c>
      <c r="W5" s="7">
        <f t="shared" si="1"/>
        <v>4.286538461538461</v>
      </c>
      <c r="AQ5" t="s">
        <v>35</v>
      </c>
      <c r="AR5" s="15">
        <f>SUMIFS(Bright_Coffee_Shop_dataset[revenue],Bright_Coffee_Shop_dataset[product_category],AQ5,Bright_Coffee_Shop_dataset[time_of_day],AR$1)</f>
        <v>173.75</v>
      </c>
      <c r="AS5" s="15">
        <f>SUMIFS(Bright_Coffee_Shop_dataset[revenue],Bright_Coffee_Shop_dataset[product_category],AQ5,Bright_Coffee_Shop_dataset[time_of_day],AS$1)</f>
        <v>197.5</v>
      </c>
      <c r="AT5" s="15">
        <f>SUMIFS(Bright_Coffee_Shop_dataset[revenue],Bright_Coffee_Shop_dataset[product_category],AQ5,Bright_Coffee_Shop_dataset[time_of_day],AT$1)</f>
        <v>94.75</v>
      </c>
      <c r="AU5" s="15">
        <f>SUM(AR5:AT5)</f>
        <v>466</v>
      </c>
    </row>
    <row r="6" spans="1:47" x14ac:dyDescent="0.3">
      <c r="G6" t="s">
        <v>65</v>
      </c>
      <c r="H6" s="7">
        <f>SUMIFS(Bright_Coffee_Shop_dataset[revenue],Bright_Coffee_Shop_dataset[product_type],G6)</f>
        <v>351.5</v>
      </c>
      <c r="I6" s="8">
        <f>COUNTIFS(Bright_Coffee_Shop_dataset[product_type],G6)</f>
        <v>84</v>
      </c>
      <c r="J6" s="8">
        <f>SUMIFS(Bright_Coffee_Shop_dataset[transaction_qty],Bright_Coffee_Shop_dataset[product_type],G6)</f>
        <v>128</v>
      </c>
      <c r="K6" s="7">
        <f t="shared" si="0"/>
        <v>4.1845238095238093</v>
      </c>
      <c r="S6">
        <v>11</v>
      </c>
      <c r="T6" s="7">
        <f>SUMIFS(Bright_Coffee_Shop_dataset[revenue],Bright_Coffee_Shop_dataset[hour],S6)</f>
        <v>474.29999999999995</v>
      </c>
      <c r="U6" s="8">
        <f>COUNTIFS(Bright_Coffee_Shop_dataset[hour],S6)</f>
        <v>106</v>
      </c>
      <c r="V6" s="8">
        <f>SUMIFS(Bright_Coffee_Shop_dataset[transaction_qty],Bright_Coffee_Shop_dataset[hour],S6)</f>
        <v>155</v>
      </c>
      <c r="W6" s="7">
        <f t="shared" si="1"/>
        <v>4.4745283018867923</v>
      </c>
    </row>
    <row r="7" spans="1:47" x14ac:dyDescent="0.3">
      <c r="G7" t="s">
        <v>82</v>
      </c>
      <c r="H7" s="7">
        <f>SUMIFS(Bright_Coffee_Shop_dataset[revenue],Bright_Coffee_Shop_dataset[product_type],G7)</f>
        <v>335.59999999999991</v>
      </c>
      <c r="I7" s="8">
        <f>COUNTIFS(Bright_Coffee_Shop_dataset[product_type],G7)</f>
        <v>74</v>
      </c>
      <c r="J7" s="8">
        <f>SUMIFS(Bright_Coffee_Shop_dataset[transaction_qty],Bright_Coffee_Shop_dataset[product_type],G7)</f>
        <v>117</v>
      </c>
      <c r="K7" s="7">
        <f t="shared" si="0"/>
        <v>4.5351351351351337</v>
      </c>
      <c r="S7">
        <v>12</v>
      </c>
      <c r="T7" s="7">
        <f>SUMIFS(Bright_Coffee_Shop_dataset[revenue],Bright_Coffee_Shop_dataset[hour],S7)</f>
        <v>472.6</v>
      </c>
      <c r="U7" s="8">
        <f>COUNTIFS(Bright_Coffee_Shop_dataset[hour],S7)</f>
        <v>116</v>
      </c>
      <c r="V7" s="8">
        <f>SUMIFS(Bright_Coffee_Shop_dataset[transaction_qty],Bright_Coffee_Shop_dataset[hour],S7)</f>
        <v>159</v>
      </c>
      <c r="W7" s="7">
        <f t="shared" si="1"/>
        <v>4.0741379310344827</v>
      </c>
    </row>
    <row r="8" spans="1:47" x14ac:dyDescent="0.3">
      <c r="G8" t="s">
        <v>57</v>
      </c>
      <c r="H8" s="7">
        <f>SUMIFS(Bright_Coffee_Shop_dataset[revenue],Bright_Coffee_Shop_dataset[product_type],G8)</f>
        <v>318</v>
      </c>
      <c r="I8" s="8">
        <f>COUNTIFS(Bright_Coffee_Shop_dataset[product_type],G8)</f>
        <v>78</v>
      </c>
      <c r="J8" s="8">
        <f>SUMIFS(Bright_Coffee_Shop_dataset[transaction_qty],Bright_Coffee_Shop_dataset[product_type],G8)</f>
        <v>116</v>
      </c>
      <c r="K8" s="7">
        <f t="shared" si="0"/>
        <v>4.0769230769230766</v>
      </c>
      <c r="S8">
        <v>13</v>
      </c>
      <c r="T8" s="7">
        <f>SUMIFS(Bright_Coffee_Shop_dataset[revenue],Bright_Coffee_Shop_dataset[hour],S8)</f>
        <v>530.45000000000005</v>
      </c>
      <c r="U8" s="8">
        <f>COUNTIFS(Bright_Coffee_Shop_dataset[hour],S8)</f>
        <v>118</v>
      </c>
      <c r="V8" s="8">
        <f>SUMIFS(Bright_Coffee_Shop_dataset[transaction_qty],Bright_Coffee_Shop_dataset[hour],S8)</f>
        <v>175</v>
      </c>
      <c r="W8" s="7">
        <f t="shared" si="1"/>
        <v>4.4953389830508481</v>
      </c>
    </row>
    <row r="9" spans="1:47" x14ac:dyDescent="0.3">
      <c r="G9" t="s">
        <v>99</v>
      </c>
      <c r="H9" s="7">
        <f>SUMIFS(Bright_Coffee_Shop_dataset[revenue],Bright_Coffee_Shop_dataset[product_type],G9)</f>
        <v>303.44999999999982</v>
      </c>
      <c r="I9" s="8">
        <f>COUNTIFS(Bright_Coffee_Shop_dataset[product_type],G9)</f>
        <v>63</v>
      </c>
      <c r="J9" s="8">
        <f>SUMIFS(Bright_Coffee_Shop_dataset[transaction_qty],Bright_Coffee_Shop_dataset[product_type],G9)</f>
        <v>96</v>
      </c>
      <c r="K9" s="7">
        <f t="shared" si="0"/>
        <v>4.8166666666666638</v>
      </c>
      <c r="S9">
        <v>14</v>
      </c>
      <c r="T9" s="7">
        <f>SUMIFS(Bright_Coffee_Shop_dataset[revenue],Bright_Coffee_Shop_dataset[hour],S9)</f>
        <v>457.34999999999997</v>
      </c>
      <c r="U9" s="8">
        <f>COUNTIFS(Bright_Coffee_Shop_dataset[hour],S9)</f>
        <v>98</v>
      </c>
      <c r="V9" s="8">
        <f>SUMIFS(Bright_Coffee_Shop_dataset[transaction_qty],Bright_Coffee_Shop_dataset[hour],S9)</f>
        <v>145</v>
      </c>
      <c r="W9" s="7">
        <f t="shared" si="1"/>
        <v>4.6668367346938773</v>
      </c>
    </row>
    <row r="10" spans="1:47" x14ac:dyDescent="0.3">
      <c r="G10" t="s">
        <v>40</v>
      </c>
      <c r="H10" s="7">
        <f>SUMIFS(Bright_Coffee_Shop_dataset[revenue],Bright_Coffee_Shop_dataset[product_type],G10)</f>
        <v>261.5</v>
      </c>
      <c r="I10" s="8">
        <f>COUNTIFS(Bright_Coffee_Shop_dataset[product_type],G10)</f>
        <v>76</v>
      </c>
      <c r="J10" s="8">
        <f>SUMIFS(Bright_Coffee_Shop_dataset[transaction_qty],Bright_Coffee_Shop_dataset[product_type],G10)</f>
        <v>104</v>
      </c>
      <c r="K10" s="7">
        <f t="shared" si="0"/>
        <v>3.4407894736842106</v>
      </c>
      <c r="S10">
        <v>15</v>
      </c>
      <c r="T10" s="7">
        <f>SUMIFS(Bright_Coffee_Shop_dataset[revenue],Bright_Coffee_Shop_dataset[hour],S10)</f>
        <v>466.5</v>
      </c>
      <c r="U10" s="8">
        <f>COUNTIFS(Bright_Coffee_Shop_dataset[hour],S10)</f>
        <v>105</v>
      </c>
      <c r="V10" s="8">
        <f>SUMIFS(Bright_Coffee_Shop_dataset[transaction_qty],Bright_Coffee_Shop_dataset[hour],S10)</f>
        <v>154</v>
      </c>
      <c r="W10" s="7">
        <f t="shared" si="1"/>
        <v>4.4428571428571431</v>
      </c>
    </row>
    <row r="11" spans="1:47" x14ac:dyDescent="0.3">
      <c r="G11" t="s">
        <v>44</v>
      </c>
      <c r="H11" s="7">
        <f>SUMIFS(Bright_Coffee_Shop_dataset[revenue],Bright_Coffee_Shop_dataset[product_type],G11)</f>
        <v>228.25</v>
      </c>
      <c r="I11" s="8">
        <f>COUNTIFS(Bright_Coffee_Shop_dataset[product_type],G11)</f>
        <v>63</v>
      </c>
      <c r="J11" s="8">
        <f>SUMIFS(Bright_Coffee_Shop_dataset[transaction_qty],Bright_Coffee_Shop_dataset[product_type],G11)</f>
        <v>63</v>
      </c>
      <c r="K11" s="7">
        <f t="shared" si="0"/>
        <v>3.623015873015873</v>
      </c>
      <c r="S11">
        <v>16</v>
      </c>
      <c r="T11" s="7">
        <f>SUMIFS(Bright_Coffee_Shop_dataset[revenue],Bright_Coffee_Shop_dataset[hour],S11)</f>
        <v>401.34999999999991</v>
      </c>
      <c r="U11" s="8">
        <f>COUNTIFS(Bright_Coffee_Shop_dataset[hour],S11)</f>
        <v>100</v>
      </c>
      <c r="V11" s="8">
        <f>SUMIFS(Bright_Coffee_Shop_dataset[transaction_qty],Bright_Coffee_Shop_dataset[hour],S11)</f>
        <v>137</v>
      </c>
      <c r="W11" s="7">
        <f t="shared" si="1"/>
        <v>4.0134999999999987</v>
      </c>
    </row>
    <row r="12" spans="1:47" x14ac:dyDescent="0.3">
      <c r="G12" t="s">
        <v>60</v>
      </c>
      <c r="H12" s="7">
        <f>SUMIFS(Bright_Coffee_Shop_dataset[revenue],Bright_Coffee_Shop_dataset[product_type],G12)</f>
        <v>196</v>
      </c>
      <c r="I12" s="8">
        <f>COUNTIFS(Bright_Coffee_Shop_dataset[product_type],G12)</f>
        <v>48</v>
      </c>
      <c r="J12" s="8">
        <f>SUMIFS(Bright_Coffee_Shop_dataset[transaction_qty],Bright_Coffee_Shop_dataset[product_type],G12)</f>
        <v>71</v>
      </c>
      <c r="K12" s="7">
        <f t="shared" si="0"/>
        <v>4.083333333333333</v>
      </c>
      <c r="S12">
        <v>17</v>
      </c>
      <c r="T12" s="7">
        <f>SUMIFS(Bright_Coffee_Shop_dataset[revenue],Bright_Coffee_Shop_dataset[hour],S12)</f>
        <v>316.14999999999992</v>
      </c>
      <c r="U12" s="8">
        <f>COUNTIFS(Bright_Coffee_Shop_dataset[hour],S12)</f>
        <v>69</v>
      </c>
      <c r="V12" s="8">
        <f>SUMIFS(Bright_Coffee_Shop_dataset[transaction_qty],Bright_Coffee_Shop_dataset[hour],S12)</f>
        <v>99</v>
      </c>
      <c r="W12" s="7">
        <f t="shared" si="1"/>
        <v>4.5818840579710134</v>
      </c>
    </row>
    <row r="13" spans="1:47" x14ac:dyDescent="0.3">
      <c r="G13" t="s">
        <v>78</v>
      </c>
      <c r="H13" s="7">
        <f>SUMIFS(Bright_Coffee_Shop_dataset[revenue],Bright_Coffee_Shop_dataset[product_type],G13)</f>
        <v>134</v>
      </c>
      <c r="I13" s="8">
        <f>COUNTIFS(Bright_Coffee_Shop_dataset[product_type],G13)</f>
        <v>37</v>
      </c>
      <c r="J13" s="8">
        <f>SUMIFS(Bright_Coffee_Shop_dataset[transaction_qty],Bright_Coffee_Shop_dataset[product_type],G13)</f>
        <v>37</v>
      </c>
      <c r="K13" s="7">
        <f t="shared" si="0"/>
        <v>3.6216216216216215</v>
      </c>
      <c r="S13">
        <v>18</v>
      </c>
      <c r="T13" s="7">
        <f>SUMIFS(Bright_Coffee_Shop_dataset[revenue],Bright_Coffee_Shop_dataset[hour],S13)</f>
        <v>231.39999999999998</v>
      </c>
      <c r="U13" s="8">
        <f>COUNTIFS(Bright_Coffee_Shop_dataset[hour],S13)</f>
        <v>48</v>
      </c>
      <c r="V13" s="8">
        <f>SUMIFS(Bright_Coffee_Shop_dataset[transaction_qty],Bright_Coffee_Shop_dataset[hour],S13)</f>
        <v>74</v>
      </c>
      <c r="W13" s="7">
        <f t="shared" si="1"/>
        <v>4.8208333333333329</v>
      </c>
    </row>
    <row r="14" spans="1:47" x14ac:dyDescent="0.3">
      <c r="G14" t="s">
        <v>71</v>
      </c>
      <c r="H14" s="7">
        <f>SUMIFS(Bright_Coffee_Shop_dataset[revenue],Bright_Coffee_Shop_dataset[product_type],G14)</f>
        <v>108.75</v>
      </c>
      <c r="I14" s="8">
        <f>COUNTIFS(Bright_Coffee_Shop_dataset[product_type],G14)</f>
        <v>32</v>
      </c>
      <c r="J14" s="8">
        <f>SUMIFS(Bright_Coffee_Shop_dataset[transaction_qty],Bright_Coffee_Shop_dataset[product_type],G14)</f>
        <v>32</v>
      </c>
      <c r="K14" s="7">
        <f t="shared" si="0"/>
        <v>3.3984375</v>
      </c>
      <c r="S14">
        <v>19</v>
      </c>
      <c r="T14" s="7">
        <f>SUMIFS(Bright_Coffee_Shop_dataset[revenue],Bright_Coffee_Shop_dataset[hour],S14)</f>
        <v>169.6</v>
      </c>
      <c r="U14" s="8">
        <f>COUNTIFS(Bright_Coffee_Shop_dataset[hour],S14)</f>
        <v>36</v>
      </c>
      <c r="V14" s="8">
        <f>SUMIFS(Bright_Coffee_Shop_dataset[transaction_qty],Bright_Coffee_Shop_dataset[hour],S14)</f>
        <v>49</v>
      </c>
      <c r="W14" s="7">
        <f t="shared" si="1"/>
        <v>4.7111111111111112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425B-18D8-4744-98A6-712510EF15B1}">
  <dimension ref="A1:L15"/>
  <sheetViews>
    <sheetView topLeftCell="A12" workbookViewId="0">
      <selection activeCell="K60" sqref="K60"/>
    </sheetView>
  </sheetViews>
  <sheetFormatPr defaultRowHeight="14.4" x14ac:dyDescent="0.3"/>
  <cols>
    <col min="1" max="1" width="22.21875" customWidth="1"/>
    <col min="2" max="4" width="17.5546875" customWidth="1"/>
    <col min="5" max="12" width="13" customWidth="1"/>
  </cols>
  <sheetData>
    <row r="1" spans="1:12" ht="23.4" x14ac:dyDescent="0.45">
      <c r="A1" s="39" t="s">
        <v>199</v>
      </c>
      <c r="B1" s="28"/>
      <c r="C1" s="28"/>
      <c r="D1" s="28"/>
      <c r="E1" s="28"/>
      <c r="F1" s="28"/>
      <c r="G1" s="28"/>
      <c r="H1" s="28"/>
      <c r="I1" s="28"/>
      <c r="J1" s="28"/>
      <c r="K1" s="28"/>
      <c r="L1" s="28"/>
    </row>
    <row r="2" spans="1:12" x14ac:dyDescent="0.3">
      <c r="A2" s="29" t="s">
        <v>200</v>
      </c>
      <c r="B2" s="28"/>
      <c r="C2" s="28"/>
      <c r="D2" s="28"/>
      <c r="E2" s="28"/>
      <c r="F2" s="28"/>
      <c r="G2" s="28"/>
      <c r="H2" s="28"/>
      <c r="I2" s="28"/>
      <c r="J2" s="28"/>
      <c r="K2" s="28"/>
      <c r="L2" s="28"/>
    </row>
    <row r="3" spans="1:12" x14ac:dyDescent="0.3">
      <c r="A3" s="6"/>
      <c r="B3" s="6"/>
      <c r="C3" s="6"/>
      <c r="D3" s="6"/>
      <c r="E3" s="6"/>
      <c r="F3" s="6"/>
      <c r="G3" s="6"/>
      <c r="H3" s="6"/>
      <c r="I3" s="6"/>
      <c r="J3" s="6"/>
      <c r="K3" s="6"/>
      <c r="L3" s="6"/>
    </row>
    <row r="4" spans="1:12" ht="15.6" x14ac:dyDescent="0.3">
      <c r="A4" s="36" t="s">
        <v>201</v>
      </c>
      <c r="B4" s="28"/>
      <c r="C4" s="28"/>
      <c r="D4" s="28"/>
      <c r="E4" s="28"/>
      <c r="F4" s="28"/>
      <c r="G4" s="36" t="s">
        <v>202</v>
      </c>
      <c r="H4" s="28"/>
      <c r="I4" s="28"/>
      <c r="J4" s="28"/>
      <c r="K4" s="28"/>
      <c r="L4" s="28"/>
    </row>
    <row r="5" spans="1:12" x14ac:dyDescent="0.3">
      <c r="A5" s="16" t="s">
        <v>138</v>
      </c>
      <c r="B5" s="16" t="s">
        <v>134</v>
      </c>
      <c r="C5" s="16" t="s">
        <v>135</v>
      </c>
      <c r="D5" s="16" t="s">
        <v>136</v>
      </c>
      <c r="E5" s="16" t="s">
        <v>137</v>
      </c>
      <c r="F5" s="6"/>
      <c r="G5" s="16" t="s">
        <v>203</v>
      </c>
      <c r="H5" s="16" t="s">
        <v>134</v>
      </c>
      <c r="I5" s="16" t="s">
        <v>135</v>
      </c>
      <c r="J5" s="16" t="s">
        <v>136</v>
      </c>
      <c r="K5" s="16" t="s">
        <v>137</v>
      </c>
      <c r="L5" s="6"/>
    </row>
    <row r="6" spans="1:12" x14ac:dyDescent="0.3">
      <c r="A6" s="17" t="str">
        <f>Analysis!G2</f>
        <v>Barista Espresso</v>
      </c>
      <c r="B6" s="18">
        <f>Analysis!H2</f>
        <v>649.25</v>
      </c>
      <c r="C6" s="19">
        <f>Analysis!I2</f>
        <v>115</v>
      </c>
      <c r="D6" s="19">
        <f>Analysis!J2</f>
        <v>175</v>
      </c>
      <c r="E6" s="18">
        <f>Analysis!K2</f>
        <v>5.6456521739130432</v>
      </c>
      <c r="F6" s="6"/>
      <c r="G6" s="17" t="str">
        <f>Analysis!A2</f>
        <v>Coffee</v>
      </c>
      <c r="H6" s="18">
        <f>Analysis!B2</f>
        <v>2037.5000000000018</v>
      </c>
      <c r="I6" s="19">
        <f>Analysis!C2</f>
        <v>444</v>
      </c>
      <c r="J6" s="19">
        <f>Analysis!D2</f>
        <v>675</v>
      </c>
      <c r="K6" s="18">
        <f>Analysis!E2</f>
        <v>4.5889639639639679</v>
      </c>
      <c r="L6" s="6"/>
    </row>
    <row r="7" spans="1:12" x14ac:dyDescent="0.3">
      <c r="A7" s="17" t="str">
        <f>Analysis!G3</f>
        <v>Brewed Chai tea</v>
      </c>
      <c r="B7" s="18">
        <f>Analysis!H3</f>
        <v>556.20000000000027</v>
      </c>
      <c r="C7" s="19">
        <f>Analysis!I3</f>
        <v>134</v>
      </c>
      <c r="D7" s="19">
        <f>Analysis!J3</f>
        <v>191</v>
      </c>
      <c r="E7" s="18">
        <f>Analysis!K3</f>
        <v>4.150746268656718</v>
      </c>
      <c r="F7" s="6"/>
      <c r="G7" s="17" t="str">
        <f>Analysis!A3</f>
        <v>Tea</v>
      </c>
      <c r="H7" s="18">
        <f>Analysis!B3</f>
        <v>1421.6999999999996</v>
      </c>
      <c r="I7" s="19">
        <f>Analysis!C3</f>
        <v>344</v>
      </c>
      <c r="J7" s="19">
        <f>Analysis!D3</f>
        <v>506</v>
      </c>
      <c r="K7" s="18">
        <f>Analysis!E3</f>
        <v>4.1328488372093011</v>
      </c>
      <c r="L7" s="6"/>
    </row>
    <row r="8" spans="1:12" x14ac:dyDescent="0.3">
      <c r="A8" s="17" t="str">
        <f>Analysis!G4</f>
        <v>Gourmet brewed coffee</v>
      </c>
      <c r="B8" s="18">
        <f>Analysis!H4</f>
        <v>487.69999999999987</v>
      </c>
      <c r="C8" s="19">
        <f>Analysis!I4</f>
        <v>116</v>
      </c>
      <c r="D8" s="19">
        <f>Analysis!J4</f>
        <v>183</v>
      </c>
      <c r="E8" s="18">
        <f>Analysis!K4</f>
        <v>4.2043103448275847</v>
      </c>
      <c r="F8" s="6"/>
      <c r="G8" s="17" t="str">
        <f>Analysis!A4</f>
        <v>Bakery</v>
      </c>
      <c r="H8" s="18">
        <f>Analysis!B4</f>
        <v>471</v>
      </c>
      <c r="I8" s="19">
        <f>Analysis!C4</f>
        <v>132</v>
      </c>
      <c r="J8" s="19">
        <f>Analysis!D4</f>
        <v>132</v>
      </c>
      <c r="K8" s="18">
        <f>Analysis!E4</f>
        <v>3.5681818181818183</v>
      </c>
      <c r="L8" s="6"/>
    </row>
    <row r="9" spans="1:12" x14ac:dyDescent="0.3">
      <c r="A9" s="17" t="str">
        <f>Analysis!G5</f>
        <v>Hot chocolate</v>
      </c>
      <c r="B9" s="18">
        <f>Analysis!H5</f>
        <v>466</v>
      </c>
      <c r="C9" s="19">
        <f>Analysis!I5</f>
        <v>80</v>
      </c>
      <c r="D9" s="19">
        <f>Analysis!J5</f>
        <v>114</v>
      </c>
      <c r="E9" s="18">
        <f>Analysis!K5</f>
        <v>5.8250000000000002</v>
      </c>
      <c r="F9" s="6"/>
      <c r="G9" s="17" t="str">
        <f>Analysis!A5</f>
        <v>Drinking Chocolate</v>
      </c>
      <c r="H9" s="18">
        <f>Analysis!B5</f>
        <v>466</v>
      </c>
      <c r="I9" s="19">
        <f>Analysis!C5</f>
        <v>80</v>
      </c>
      <c r="J9" s="19">
        <f>Analysis!D5</f>
        <v>114</v>
      </c>
      <c r="K9" s="18">
        <f>Analysis!E5</f>
        <v>5.8250000000000002</v>
      </c>
      <c r="L9" s="6"/>
    </row>
    <row r="10" spans="1:12" x14ac:dyDescent="0.3">
      <c r="A10" s="17" t="str">
        <f>Analysis!G6</f>
        <v>Brewed herbal tea</v>
      </c>
      <c r="B10" s="18">
        <f>Analysis!H6</f>
        <v>351.5</v>
      </c>
      <c r="C10" s="19">
        <f>Analysis!I6</f>
        <v>84</v>
      </c>
      <c r="D10" s="19">
        <f>Analysis!J6</f>
        <v>128</v>
      </c>
      <c r="E10" s="18">
        <f>Analysis!K6</f>
        <v>4.1845238095238093</v>
      </c>
      <c r="F10" s="6"/>
      <c r="G10" s="6"/>
      <c r="H10" s="6"/>
      <c r="I10" s="6"/>
      <c r="J10" s="6"/>
      <c r="K10" s="6"/>
      <c r="L10" s="6"/>
    </row>
    <row r="11" spans="1:12" x14ac:dyDescent="0.3">
      <c r="A11" s="17" t="str">
        <f>Analysis!G7</f>
        <v>Organic brewed coffee</v>
      </c>
      <c r="B11" s="18">
        <f>Analysis!H7</f>
        <v>335.59999999999991</v>
      </c>
      <c r="C11" s="19">
        <f>Analysis!I7</f>
        <v>74</v>
      </c>
      <c r="D11" s="19">
        <f>Analysis!J7</f>
        <v>117</v>
      </c>
      <c r="E11" s="18">
        <f>Analysis!K7</f>
        <v>4.5351351351351337</v>
      </c>
      <c r="F11" s="6"/>
      <c r="G11" s="37" t="str">
        <f>"Finding: "&amp;INDEX(Analysis!G2:G11,MATCH(MAX(Analysis!H2:H11),Analysis!H2:H11,0))&amp;" is the top product type, while "&amp;INDEX(Analysis!A2:A5,MATCH(MAX(Analysis!B2:B5),Analysis!B2:B5,0))&amp;" is the strongest category. Prioritize these as anchor offers for campaigns and bundles."</f>
        <v>Finding: Barista Espresso is the top product type, while Coffee is the strongest category. Prioritize these as anchor offers for campaigns and bundles.</v>
      </c>
      <c r="H11" s="38"/>
      <c r="I11" s="38"/>
      <c r="J11" s="38"/>
      <c r="K11" s="38"/>
      <c r="L11" s="38"/>
    </row>
    <row r="12" spans="1:12" x14ac:dyDescent="0.3">
      <c r="A12" s="17" t="str">
        <f>Analysis!G8</f>
        <v>Brewed Black tea</v>
      </c>
      <c r="B12" s="18">
        <f>Analysis!H8</f>
        <v>318</v>
      </c>
      <c r="C12" s="19">
        <f>Analysis!I8</f>
        <v>78</v>
      </c>
      <c r="D12" s="19">
        <f>Analysis!J8</f>
        <v>116</v>
      </c>
      <c r="E12" s="18">
        <f>Analysis!K8</f>
        <v>4.0769230769230766</v>
      </c>
      <c r="F12" s="6"/>
      <c r="G12" s="38"/>
      <c r="H12" s="38"/>
      <c r="I12" s="38"/>
      <c r="J12" s="38"/>
      <c r="K12" s="38"/>
      <c r="L12" s="38"/>
    </row>
    <row r="13" spans="1:12" x14ac:dyDescent="0.3">
      <c r="A13" s="17" t="str">
        <f>Analysis!G9</f>
        <v>Premium brewed coffee</v>
      </c>
      <c r="B13" s="18">
        <f>Analysis!H9</f>
        <v>303.44999999999982</v>
      </c>
      <c r="C13" s="19">
        <f>Analysis!I9</f>
        <v>63</v>
      </c>
      <c r="D13" s="19">
        <f>Analysis!J9</f>
        <v>96</v>
      </c>
      <c r="E13" s="18">
        <f>Analysis!K9</f>
        <v>4.8166666666666638</v>
      </c>
      <c r="F13" s="6"/>
      <c r="G13" s="38"/>
      <c r="H13" s="38"/>
      <c r="I13" s="38"/>
      <c r="J13" s="38"/>
      <c r="K13" s="38"/>
      <c r="L13" s="38"/>
    </row>
    <row r="14" spans="1:12" x14ac:dyDescent="0.3">
      <c r="A14" s="17" t="str">
        <f>Analysis!G10</f>
        <v>Drip coffee</v>
      </c>
      <c r="B14" s="18">
        <f>Analysis!H10</f>
        <v>261.5</v>
      </c>
      <c r="C14" s="19">
        <f>Analysis!I10</f>
        <v>76</v>
      </c>
      <c r="D14" s="19">
        <f>Analysis!J10</f>
        <v>104</v>
      </c>
      <c r="E14" s="18">
        <f>Analysis!K10</f>
        <v>3.4407894736842106</v>
      </c>
      <c r="F14" s="6"/>
      <c r="G14" s="38"/>
      <c r="H14" s="38"/>
      <c r="I14" s="38"/>
      <c r="J14" s="38"/>
      <c r="K14" s="38"/>
      <c r="L14" s="38"/>
    </row>
    <row r="15" spans="1:12" x14ac:dyDescent="0.3">
      <c r="A15" s="17" t="str">
        <f>Analysis!G11</f>
        <v>Scone</v>
      </c>
      <c r="B15" s="18">
        <f>Analysis!H11</f>
        <v>228.25</v>
      </c>
      <c r="C15" s="19">
        <f>Analysis!I11</f>
        <v>63</v>
      </c>
      <c r="D15" s="19">
        <f>Analysis!J11</f>
        <v>63</v>
      </c>
      <c r="E15" s="18">
        <f>Analysis!K11</f>
        <v>3.623015873015873</v>
      </c>
      <c r="F15" s="6"/>
      <c r="G15" s="38"/>
      <c r="H15" s="38"/>
      <c r="I15" s="38"/>
      <c r="J15" s="38"/>
      <c r="K15" s="38"/>
      <c r="L15" s="38"/>
    </row>
  </sheetData>
  <mergeCells count="5">
    <mergeCell ref="A1:L1"/>
    <mergeCell ref="A2:L2"/>
    <mergeCell ref="A4:F4"/>
    <mergeCell ref="G4:L4"/>
    <mergeCell ref="G11:L1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0637C-FC74-471C-9714-C9963B2167FF}">
  <dimension ref="A1:L9"/>
  <sheetViews>
    <sheetView workbookViewId="0">
      <selection activeCell="I33" sqref="I33"/>
    </sheetView>
  </sheetViews>
  <sheetFormatPr defaultRowHeight="14.4" x14ac:dyDescent="0.3"/>
  <cols>
    <col min="1" max="1" width="22.21875" customWidth="1"/>
    <col min="2" max="4" width="17.5546875" customWidth="1"/>
    <col min="5" max="12" width="13" customWidth="1"/>
  </cols>
  <sheetData>
    <row r="1" spans="1:12" ht="23.4" x14ac:dyDescent="0.45">
      <c r="A1" s="39" t="s">
        <v>204</v>
      </c>
      <c r="B1" s="28"/>
      <c r="C1" s="28"/>
      <c r="D1" s="28"/>
      <c r="E1" s="28"/>
      <c r="F1" s="28"/>
      <c r="G1" s="28"/>
      <c r="H1" s="28"/>
      <c r="I1" s="28"/>
      <c r="J1" s="28"/>
      <c r="K1" s="28"/>
      <c r="L1" s="28"/>
    </row>
    <row r="2" spans="1:12" x14ac:dyDescent="0.3">
      <c r="A2" s="29" t="s">
        <v>205</v>
      </c>
      <c r="B2" s="28"/>
      <c r="C2" s="28"/>
      <c r="D2" s="28"/>
      <c r="E2" s="28"/>
      <c r="F2" s="28"/>
      <c r="G2" s="28"/>
      <c r="H2" s="28"/>
      <c r="I2" s="28"/>
      <c r="J2" s="28"/>
      <c r="K2" s="28"/>
      <c r="L2" s="28"/>
    </row>
    <row r="3" spans="1:12" x14ac:dyDescent="0.3">
      <c r="A3" s="6"/>
      <c r="B3" s="6"/>
      <c r="C3" s="6"/>
      <c r="D3" s="6"/>
      <c r="E3" s="6"/>
      <c r="F3" s="6"/>
      <c r="G3" s="6"/>
      <c r="H3" s="6"/>
      <c r="I3" s="6"/>
      <c r="J3" s="6"/>
      <c r="K3" s="6"/>
      <c r="L3" s="6"/>
    </row>
    <row r="4" spans="1:12" ht="15.6" x14ac:dyDescent="0.3">
      <c r="A4" s="36" t="s">
        <v>163</v>
      </c>
      <c r="B4" s="28"/>
      <c r="C4" s="28"/>
      <c r="D4" s="28"/>
      <c r="E4" s="28"/>
      <c r="F4" s="28"/>
      <c r="G4" s="36" t="s">
        <v>206</v>
      </c>
      <c r="H4" s="28"/>
      <c r="I4" s="28"/>
      <c r="J4" s="28"/>
      <c r="K4" s="28"/>
      <c r="L4" s="28"/>
    </row>
    <row r="5" spans="1:12" x14ac:dyDescent="0.3">
      <c r="A5" s="16" t="s">
        <v>139</v>
      </c>
      <c r="B5" s="16" t="s">
        <v>134</v>
      </c>
      <c r="C5" s="16" t="s">
        <v>135</v>
      </c>
      <c r="D5" s="16" t="s">
        <v>136</v>
      </c>
      <c r="E5" s="16" t="s">
        <v>137</v>
      </c>
      <c r="F5" s="6"/>
      <c r="G5" s="37" t="str">
        <f>"Best time of day: "&amp;INDEX(Analysis!M2:M4,MATCH(MAX(Analysis!N2:N4),Analysis!N2:N4,0))&amp;" with "&amp;TEXT(MAX(Analysis!N2:N4),"R#,##0.00")&amp;" revenue. Peak hour: "&amp;INDEX(Analysis!S2:S14,MATCH(MAX(Analysis!T2:T14),Analysis!T2:T14,0))&amp;":00."</f>
        <v>Best time of day: Afternoon with R2328,250.00 revenue. Peak hour: 13:00.</v>
      </c>
      <c r="H5" s="38"/>
      <c r="I5" s="38"/>
      <c r="J5" s="38"/>
      <c r="K5" s="38"/>
      <c r="L5" s="38"/>
    </row>
    <row r="6" spans="1:12" x14ac:dyDescent="0.3">
      <c r="A6" s="17" t="str">
        <f>Analysis!M2</f>
        <v>Afternoon</v>
      </c>
      <c r="B6" s="18">
        <f>Analysis!N2</f>
        <v>2328.2499999999995</v>
      </c>
      <c r="C6" s="19">
        <f>Analysis!O2</f>
        <v>537</v>
      </c>
      <c r="D6" s="19">
        <f>Analysis!P2</f>
        <v>770</v>
      </c>
      <c r="E6" s="18">
        <f>Analysis!Q2</f>
        <v>4.3356610800744875</v>
      </c>
      <c r="F6" s="6"/>
      <c r="G6" s="38"/>
      <c r="H6" s="38"/>
      <c r="I6" s="38"/>
      <c r="J6" s="38"/>
      <c r="K6" s="38"/>
      <c r="L6" s="38"/>
    </row>
    <row r="7" spans="1:12" x14ac:dyDescent="0.3">
      <c r="A7" s="17" t="str">
        <f>Analysis!M3</f>
        <v>Morning</v>
      </c>
      <c r="B7" s="18">
        <f>Analysis!N3</f>
        <v>1350.8000000000004</v>
      </c>
      <c r="C7" s="19">
        <f>Analysis!O3</f>
        <v>310</v>
      </c>
      <c r="D7" s="19">
        <f>Analysis!P3</f>
        <v>435</v>
      </c>
      <c r="E7" s="18">
        <f>Analysis!Q3</f>
        <v>4.3574193548387106</v>
      </c>
      <c r="F7" s="6"/>
      <c r="G7" s="38"/>
      <c r="H7" s="38"/>
      <c r="I7" s="38"/>
      <c r="J7" s="38"/>
      <c r="K7" s="38"/>
      <c r="L7" s="38"/>
    </row>
    <row r="8" spans="1:12" x14ac:dyDescent="0.3">
      <c r="A8" s="17" t="str">
        <f>Analysis!M4</f>
        <v>Evening</v>
      </c>
      <c r="B8" s="18">
        <f>Analysis!N4</f>
        <v>717.15000000000009</v>
      </c>
      <c r="C8" s="19">
        <f>Analysis!O4</f>
        <v>153</v>
      </c>
      <c r="D8" s="19">
        <f>Analysis!P4</f>
        <v>222</v>
      </c>
      <c r="E8" s="18">
        <f>Analysis!Q4</f>
        <v>4.6872549019607845</v>
      </c>
      <c r="F8" s="6"/>
      <c r="G8" s="38"/>
      <c r="H8" s="38"/>
      <c r="I8" s="38"/>
      <c r="J8" s="38"/>
      <c r="K8" s="38"/>
      <c r="L8" s="38"/>
    </row>
    <row r="9" spans="1:12" x14ac:dyDescent="0.3">
      <c r="A9" s="6"/>
      <c r="B9" s="6"/>
      <c r="C9" s="6"/>
      <c r="D9" s="6"/>
      <c r="E9" s="6"/>
      <c r="F9" s="6"/>
      <c r="G9" s="38"/>
      <c r="H9" s="38"/>
      <c r="I9" s="38"/>
      <c r="J9" s="38"/>
      <c r="K9" s="38"/>
      <c r="L9" s="38"/>
    </row>
  </sheetData>
  <mergeCells count="5">
    <mergeCell ref="A1:L1"/>
    <mergeCell ref="A2:L2"/>
    <mergeCell ref="A4:F4"/>
    <mergeCell ref="G4:L4"/>
    <mergeCell ref="G5:L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308D8-1A0B-4FBD-AC94-C37B585F130C}">
  <dimension ref="A1:L9"/>
  <sheetViews>
    <sheetView tabSelected="1" workbookViewId="0">
      <selection activeCell="K60" sqref="K60"/>
    </sheetView>
  </sheetViews>
  <sheetFormatPr defaultRowHeight="14.4" x14ac:dyDescent="0.3"/>
  <cols>
    <col min="1" max="1" width="22.21875" customWidth="1"/>
    <col min="2" max="4" width="17.5546875" customWidth="1"/>
    <col min="5" max="12" width="13" customWidth="1"/>
  </cols>
  <sheetData>
    <row r="1" spans="1:12" ht="23.4" x14ac:dyDescent="0.45">
      <c r="A1" s="39" t="s">
        <v>207</v>
      </c>
      <c r="B1" s="28"/>
      <c r="C1" s="28"/>
      <c r="D1" s="28"/>
      <c r="E1" s="28"/>
      <c r="F1" s="28"/>
      <c r="G1" s="28"/>
      <c r="H1" s="28"/>
      <c r="I1" s="28"/>
      <c r="J1" s="28"/>
      <c r="K1" s="28"/>
      <c r="L1" s="28"/>
    </row>
    <row r="2" spans="1:12" x14ac:dyDescent="0.3">
      <c r="A2" s="29" t="s">
        <v>208</v>
      </c>
      <c r="B2" s="28"/>
      <c r="C2" s="28"/>
      <c r="D2" s="28"/>
      <c r="E2" s="28"/>
      <c r="F2" s="28"/>
      <c r="G2" s="28"/>
      <c r="H2" s="28"/>
      <c r="I2" s="28"/>
      <c r="J2" s="28"/>
      <c r="K2" s="28"/>
      <c r="L2" s="28"/>
    </row>
    <row r="3" spans="1:12" x14ac:dyDescent="0.3">
      <c r="A3" s="6"/>
      <c r="B3" s="6"/>
      <c r="C3" s="6"/>
      <c r="D3" s="6"/>
      <c r="E3" s="6"/>
      <c r="F3" s="6"/>
      <c r="G3" s="6"/>
      <c r="H3" s="6"/>
      <c r="I3" s="6"/>
      <c r="J3" s="6"/>
      <c r="K3" s="6"/>
      <c r="L3" s="6"/>
    </row>
    <row r="4" spans="1:12" ht="15.6" x14ac:dyDescent="0.3">
      <c r="A4" s="36" t="s">
        <v>209</v>
      </c>
      <c r="B4" s="28"/>
      <c r="C4" s="28"/>
      <c r="D4" s="28"/>
      <c r="E4" s="28"/>
      <c r="F4" s="28"/>
      <c r="G4" s="28"/>
      <c r="H4" s="28"/>
      <c r="I4" s="28"/>
      <c r="J4" s="28"/>
      <c r="K4" s="28"/>
      <c r="L4" s="28"/>
    </row>
    <row r="5" spans="1:12" x14ac:dyDescent="0.3">
      <c r="A5" s="16" t="s">
        <v>133</v>
      </c>
      <c r="B5" s="16" t="s">
        <v>22</v>
      </c>
      <c r="C5" s="16" t="s">
        <v>120</v>
      </c>
      <c r="D5" s="16" t="s">
        <v>123</v>
      </c>
      <c r="E5" s="16" t="s">
        <v>198</v>
      </c>
      <c r="F5" s="6"/>
      <c r="G5" s="37" t="str">
        <f>"Trend summary: Afternoon leads overall, and Coffee contributes the largest product revenue. Use the matrix to compare whether each product category is strongest in Morning, Afternoon, or Evening."</f>
        <v>Trend summary: Afternoon leads overall, and Coffee contributes the largest product revenue. Use the matrix to compare whether each product category is strongest in Morning, Afternoon, or Evening.</v>
      </c>
      <c r="H5" s="38"/>
      <c r="I5" s="38"/>
      <c r="J5" s="38"/>
      <c r="K5" s="38"/>
      <c r="L5" s="38"/>
    </row>
    <row r="6" spans="1:12" x14ac:dyDescent="0.3">
      <c r="A6" s="17" t="str">
        <f>Analysis!AQ2</f>
        <v>Coffee</v>
      </c>
      <c r="B6" s="18">
        <f>Analysis!AR2</f>
        <v>610.19999999999993</v>
      </c>
      <c r="C6" s="18">
        <f>Analysis!AS2</f>
        <v>1118.8500000000004</v>
      </c>
      <c r="D6" s="18">
        <f>Analysis!AT2</f>
        <v>308.45</v>
      </c>
      <c r="E6" s="18">
        <f>Analysis!AU2</f>
        <v>2037.5000000000002</v>
      </c>
      <c r="F6" s="6"/>
      <c r="G6" s="38"/>
      <c r="H6" s="38"/>
      <c r="I6" s="38"/>
      <c r="J6" s="38"/>
      <c r="K6" s="38"/>
      <c r="L6" s="38"/>
    </row>
    <row r="7" spans="1:12" x14ac:dyDescent="0.3">
      <c r="A7" s="17" t="str">
        <f>Analysis!AQ3</f>
        <v>Tea</v>
      </c>
      <c r="B7" s="18">
        <f>Analysis!AR3</f>
        <v>408.35</v>
      </c>
      <c r="C7" s="18">
        <f>Analysis!AS3</f>
        <v>766.65000000000009</v>
      </c>
      <c r="D7" s="18">
        <f>Analysis!AT3</f>
        <v>246.7</v>
      </c>
      <c r="E7" s="18">
        <f>Analysis!AU3</f>
        <v>1421.7</v>
      </c>
      <c r="F7" s="6"/>
      <c r="G7" s="38"/>
      <c r="H7" s="38"/>
      <c r="I7" s="38"/>
      <c r="J7" s="38"/>
      <c r="K7" s="38"/>
      <c r="L7" s="38"/>
    </row>
    <row r="8" spans="1:12" x14ac:dyDescent="0.3">
      <c r="A8" s="17" t="str">
        <f>Analysis!AQ4</f>
        <v>Bakery</v>
      </c>
      <c r="B8" s="18">
        <f>Analysis!AR4</f>
        <v>158.5</v>
      </c>
      <c r="C8" s="18">
        <f>Analysis!AS4</f>
        <v>245.25</v>
      </c>
      <c r="D8" s="18">
        <f>Analysis!AT4</f>
        <v>67.25</v>
      </c>
      <c r="E8" s="18">
        <f>Analysis!AU4</f>
        <v>471</v>
      </c>
      <c r="F8" s="6"/>
      <c r="G8" s="38"/>
      <c r="H8" s="38"/>
      <c r="I8" s="38"/>
      <c r="J8" s="38"/>
      <c r="K8" s="38"/>
      <c r="L8" s="38"/>
    </row>
    <row r="9" spans="1:12" x14ac:dyDescent="0.3">
      <c r="A9" s="17" t="str">
        <f>Analysis!AQ5</f>
        <v>Drinking Chocolate</v>
      </c>
      <c r="B9" s="18">
        <f>Analysis!AR5</f>
        <v>173.75</v>
      </c>
      <c r="C9" s="18">
        <f>Analysis!AS5</f>
        <v>197.5</v>
      </c>
      <c r="D9" s="18">
        <f>Analysis!AT5</f>
        <v>94.75</v>
      </c>
      <c r="E9" s="18">
        <f>Analysis!AU5</f>
        <v>466</v>
      </c>
      <c r="F9" s="6"/>
      <c r="G9" s="38"/>
      <c r="H9" s="38"/>
      <c r="I9" s="38"/>
      <c r="J9" s="38"/>
      <c r="K9" s="38"/>
      <c r="L9" s="38"/>
    </row>
  </sheetData>
  <mergeCells count="4">
    <mergeCell ref="A1:L1"/>
    <mergeCell ref="A2:L2"/>
    <mergeCell ref="A4:L4"/>
    <mergeCell ref="G5:L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87578-5734-409D-9ACC-970681E22FBB}">
  <dimension ref="A1:L26"/>
  <sheetViews>
    <sheetView workbookViewId="0">
      <selection sqref="A1:L1"/>
    </sheetView>
  </sheetViews>
  <sheetFormatPr defaultRowHeight="14.4" x14ac:dyDescent="0.3"/>
  <cols>
    <col min="1" max="1" width="10.21875" customWidth="1"/>
    <col min="2" max="3" width="31.44140625" customWidth="1"/>
    <col min="4" max="4" width="35.21875" customWidth="1"/>
    <col min="5" max="5" width="25.88671875" customWidth="1"/>
    <col min="6" max="6" width="13" customWidth="1"/>
    <col min="7" max="12" width="11.109375" customWidth="1"/>
  </cols>
  <sheetData>
    <row r="1" spans="1:12" ht="23.4" x14ac:dyDescent="0.45">
      <c r="A1" s="39" t="s">
        <v>210</v>
      </c>
      <c r="B1" s="28"/>
      <c r="C1" s="28"/>
      <c r="D1" s="28"/>
      <c r="E1" s="28"/>
      <c r="F1" s="28"/>
      <c r="G1" s="28"/>
      <c r="H1" s="28"/>
      <c r="I1" s="28"/>
      <c r="J1" s="28"/>
      <c r="K1" s="28"/>
      <c r="L1" s="28"/>
    </row>
    <row r="2" spans="1:12" x14ac:dyDescent="0.3">
      <c r="A2" s="29" t="s">
        <v>211</v>
      </c>
      <c r="B2" s="28"/>
      <c r="C2" s="28"/>
      <c r="D2" s="28"/>
      <c r="E2" s="28"/>
      <c r="F2" s="28"/>
      <c r="G2" s="28"/>
      <c r="H2" s="28"/>
      <c r="I2" s="28"/>
      <c r="J2" s="28"/>
      <c r="K2" s="28"/>
      <c r="L2" s="28"/>
    </row>
    <row r="3" spans="1:12" x14ac:dyDescent="0.3">
      <c r="A3" s="6"/>
      <c r="B3" s="6"/>
      <c r="C3" s="6"/>
      <c r="D3" s="6"/>
      <c r="E3" s="6"/>
      <c r="F3" s="6"/>
      <c r="G3" s="6"/>
      <c r="H3" s="6"/>
      <c r="I3" s="6"/>
      <c r="J3" s="6"/>
      <c r="K3" s="6"/>
      <c r="L3" s="6"/>
    </row>
    <row r="4" spans="1:12" ht="15.6" x14ac:dyDescent="0.3">
      <c r="A4" s="36" t="s">
        <v>212</v>
      </c>
      <c r="B4" s="28"/>
      <c r="C4" s="28"/>
      <c r="D4" s="28"/>
      <c r="E4" s="28"/>
      <c r="F4" s="28"/>
      <c r="G4" s="28"/>
      <c r="H4" s="28"/>
      <c r="I4" s="28"/>
      <c r="J4" s="28"/>
      <c r="K4" s="28"/>
      <c r="L4" s="28"/>
    </row>
    <row r="5" spans="1:12" x14ac:dyDescent="0.3">
      <c r="A5" s="16" t="s">
        <v>169</v>
      </c>
      <c r="B5" s="16" t="s">
        <v>170</v>
      </c>
      <c r="C5" s="16" t="s">
        <v>213</v>
      </c>
      <c r="D5" s="16" t="s">
        <v>214</v>
      </c>
      <c r="E5" s="16" t="s">
        <v>215</v>
      </c>
      <c r="F5" s="6"/>
      <c r="G5" s="6"/>
      <c r="H5" s="6"/>
      <c r="I5" s="6"/>
      <c r="J5" s="6"/>
      <c r="K5" s="6"/>
      <c r="L5" s="6"/>
    </row>
    <row r="6" spans="1:12" ht="28.8" x14ac:dyDescent="0.3">
      <c r="A6" s="17">
        <v>1</v>
      </c>
      <c r="B6" s="20" t="s">
        <v>216</v>
      </c>
      <c r="C6" s="20" t="s">
        <v>217</v>
      </c>
      <c r="D6" s="20" t="s">
        <v>218</v>
      </c>
      <c r="E6" s="17" t="s">
        <v>177</v>
      </c>
      <c r="F6" s="6"/>
      <c r="G6" s="6"/>
      <c r="H6" s="6"/>
      <c r="I6" s="6"/>
      <c r="J6" s="6"/>
      <c r="K6" s="6"/>
      <c r="L6" s="6"/>
    </row>
    <row r="7" spans="1:12" ht="28.8" x14ac:dyDescent="0.3">
      <c r="A7" s="17">
        <v>2</v>
      </c>
      <c r="B7" s="20" t="s">
        <v>219</v>
      </c>
      <c r="C7" s="20" t="s">
        <v>220</v>
      </c>
      <c r="D7" s="20" t="s">
        <v>221</v>
      </c>
      <c r="E7" s="17" t="s">
        <v>181</v>
      </c>
      <c r="F7" s="6"/>
      <c r="G7" s="6"/>
      <c r="H7" s="6"/>
      <c r="I7" s="6"/>
      <c r="J7" s="6"/>
      <c r="K7" s="6"/>
      <c r="L7" s="6"/>
    </row>
    <row r="8" spans="1:12" ht="28.8" x14ac:dyDescent="0.3">
      <c r="A8" s="17">
        <v>3</v>
      </c>
      <c r="B8" s="20" t="s">
        <v>222</v>
      </c>
      <c r="C8" s="20" t="s">
        <v>223</v>
      </c>
      <c r="D8" s="20" t="s">
        <v>224</v>
      </c>
      <c r="E8" s="17" t="s">
        <v>185</v>
      </c>
      <c r="F8" s="6"/>
      <c r="G8" s="6"/>
      <c r="H8" s="6"/>
      <c r="I8" s="6"/>
      <c r="J8" s="6"/>
      <c r="K8" s="6"/>
      <c r="L8" s="6"/>
    </row>
    <row r="9" spans="1:12" ht="28.8" x14ac:dyDescent="0.3">
      <c r="A9" s="17">
        <v>4</v>
      </c>
      <c r="B9" s="20" t="s">
        <v>225</v>
      </c>
      <c r="C9" s="20" t="s">
        <v>226</v>
      </c>
      <c r="D9" s="20" t="s">
        <v>227</v>
      </c>
      <c r="E9" s="17" t="s">
        <v>189</v>
      </c>
      <c r="F9" s="6"/>
      <c r="G9" s="6"/>
      <c r="H9" s="6"/>
      <c r="I9" s="6"/>
      <c r="J9" s="6"/>
      <c r="K9" s="6"/>
      <c r="L9" s="6"/>
    </row>
    <row r="10" spans="1:12" ht="28.8" x14ac:dyDescent="0.3">
      <c r="A10" s="17">
        <v>5</v>
      </c>
      <c r="B10" s="20" t="s">
        <v>228</v>
      </c>
      <c r="C10" s="20" t="s">
        <v>229</v>
      </c>
      <c r="D10" s="20" t="s">
        <v>230</v>
      </c>
      <c r="E10" s="17" t="s">
        <v>193</v>
      </c>
      <c r="F10" s="6"/>
      <c r="G10" s="6"/>
      <c r="H10" s="6"/>
      <c r="I10" s="6"/>
      <c r="J10" s="6"/>
      <c r="K10" s="6"/>
      <c r="L10" s="6"/>
    </row>
    <row r="11" spans="1:12" x14ac:dyDescent="0.3">
      <c r="A11" s="6"/>
      <c r="B11" s="6"/>
      <c r="C11" s="6"/>
      <c r="D11" s="6"/>
      <c r="E11" s="6"/>
      <c r="F11" s="6"/>
      <c r="G11" s="6"/>
      <c r="H11" s="6"/>
      <c r="I11" s="6"/>
      <c r="J11" s="6"/>
      <c r="K11" s="6"/>
      <c r="L11" s="6"/>
    </row>
    <row r="12" spans="1:12" ht="15.6" x14ac:dyDescent="0.3">
      <c r="A12" s="36" t="s">
        <v>231</v>
      </c>
      <c r="B12" s="28"/>
      <c r="C12" s="28"/>
      <c r="D12" s="28"/>
      <c r="E12" s="28"/>
      <c r="F12" s="28"/>
      <c r="G12" s="28"/>
      <c r="H12" s="28"/>
      <c r="I12" s="28"/>
      <c r="J12" s="28"/>
      <c r="K12" s="28"/>
      <c r="L12" s="28"/>
    </row>
    <row r="13" spans="1:12" x14ac:dyDescent="0.3">
      <c r="A13" s="37" t="s">
        <v>232</v>
      </c>
      <c r="B13" s="38"/>
      <c r="C13" s="38"/>
      <c r="D13" s="38"/>
      <c r="E13" s="38"/>
      <c r="F13" s="38"/>
      <c r="G13" s="38"/>
      <c r="H13" s="38"/>
      <c r="I13" s="38"/>
      <c r="J13" s="38"/>
      <c r="K13" s="38"/>
      <c r="L13" s="38"/>
    </row>
    <row r="14" spans="1:12" x14ac:dyDescent="0.3">
      <c r="A14" s="38"/>
      <c r="B14" s="38"/>
      <c r="C14" s="38"/>
      <c r="D14" s="38"/>
      <c r="E14" s="38"/>
      <c r="F14" s="38"/>
      <c r="G14" s="38"/>
      <c r="H14" s="38"/>
      <c r="I14" s="38"/>
      <c r="J14" s="38"/>
      <c r="K14" s="38"/>
      <c r="L14" s="38"/>
    </row>
    <row r="15" spans="1:12" x14ac:dyDescent="0.3">
      <c r="A15" s="38"/>
      <c r="B15" s="38"/>
      <c r="C15" s="38"/>
      <c r="D15" s="38"/>
      <c r="E15" s="38"/>
      <c r="F15" s="38"/>
      <c r="G15" s="38"/>
      <c r="H15" s="38"/>
      <c r="I15" s="38"/>
      <c r="J15" s="38"/>
      <c r="K15" s="38"/>
      <c r="L15" s="38"/>
    </row>
    <row r="16" spans="1:12" x14ac:dyDescent="0.3">
      <c r="A16" s="38"/>
      <c r="B16" s="38"/>
      <c r="C16" s="38"/>
      <c r="D16" s="38"/>
      <c r="E16" s="38"/>
      <c r="F16" s="38"/>
      <c r="G16" s="38"/>
      <c r="H16" s="38"/>
      <c r="I16" s="38"/>
      <c r="J16" s="38"/>
      <c r="K16" s="38"/>
      <c r="L16" s="38"/>
    </row>
    <row r="17" spans="1:12" x14ac:dyDescent="0.3">
      <c r="A17" s="38"/>
      <c r="B17" s="38"/>
      <c r="C17" s="38"/>
      <c r="D17" s="38"/>
      <c r="E17" s="38"/>
      <c r="F17" s="38"/>
      <c r="G17" s="38"/>
      <c r="H17" s="38"/>
      <c r="I17" s="38"/>
      <c r="J17" s="38"/>
      <c r="K17" s="38"/>
      <c r="L17" s="38"/>
    </row>
    <row r="18" spans="1:12" x14ac:dyDescent="0.3">
      <c r="A18" s="6"/>
      <c r="B18" s="6"/>
      <c r="C18" s="6"/>
      <c r="D18" s="6"/>
      <c r="E18" s="6"/>
      <c r="F18" s="6"/>
      <c r="G18" s="6"/>
      <c r="H18" s="6"/>
      <c r="I18" s="6"/>
      <c r="J18" s="6"/>
      <c r="K18" s="6"/>
      <c r="L18" s="6"/>
    </row>
    <row r="19" spans="1:12" ht="15.6" x14ac:dyDescent="0.3">
      <c r="A19" s="36" t="s">
        <v>283</v>
      </c>
      <c r="B19" s="28"/>
      <c r="C19" s="28"/>
      <c r="D19" s="28"/>
      <c r="E19" s="28"/>
      <c r="F19" s="28"/>
      <c r="G19" s="28"/>
      <c r="H19" s="28"/>
      <c r="I19" s="28"/>
      <c r="J19" s="28"/>
      <c r="K19" s="28"/>
      <c r="L19" s="28"/>
    </row>
    <row r="20" spans="1:12" x14ac:dyDescent="0.3">
      <c r="A20" s="16" t="s">
        <v>284</v>
      </c>
      <c r="B20" s="16" t="s">
        <v>285</v>
      </c>
      <c r="C20" s="16" t="s">
        <v>286</v>
      </c>
      <c r="D20" s="16" t="s">
        <v>287</v>
      </c>
      <c r="E20" s="16" t="s">
        <v>288</v>
      </c>
      <c r="F20" s="6"/>
      <c r="G20" s="6"/>
      <c r="H20" s="6"/>
      <c r="I20" s="6"/>
      <c r="J20" s="6"/>
      <c r="K20" s="6"/>
      <c r="L20" s="6"/>
    </row>
    <row r="21" spans="1:12" ht="28.8" x14ac:dyDescent="0.3">
      <c r="A21" s="17">
        <v>1</v>
      </c>
      <c r="B21" s="20" t="s">
        <v>289</v>
      </c>
      <c r="C21" s="20" t="s">
        <v>290</v>
      </c>
      <c r="D21" s="20" t="s">
        <v>291</v>
      </c>
      <c r="E21" s="17" t="s">
        <v>292</v>
      </c>
      <c r="F21" s="6"/>
      <c r="G21" s="6"/>
      <c r="H21" s="6"/>
      <c r="I21" s="6"/>
      <c r="J21" s="6"/>
      <c r="K21" s="6"/>
      <c r="L21" s="6"/>
    </row>
    <row r="22" spans="1:12" ht="28.8" x14ac:dyDescent="0.3">
      <c r="A22" s="17">
        <v>2</v>
      </c>
      <c r="B22" s="20" t="s">
        <v>293</v>
      </c>
      <c r="C22" s="20" t="s">
        <v>294</v>
      </c>
      <c r="D22" s="20" t="s">
        <v>295</v>
      </c>
      <c r="E22" s="17" t="s">
        <v>296</v>
      </c>
      <c r="F22" s="6"/>
      <c r="G22" s="6"/>
      <c r="H22" s="6"/>
      <c r="I22" s="6"/>
      <c r="J22" s="6"/>
      <c r="K22" s="6"/>
      <c r="L22" s="6"/>
    </row>
    <row r="23" spans="1:12" ht="28.8" x14ac:dyDescent="0.3">
      <c r="A23" s="17">
        <v>3</v>
      </c>
      <c r="B23" s="20" t="s">
        <v>297</v>
      </c>
      <c r="C23" s="20" t="s">
        <v>298</v>
      </c>
      <c r="D23" s="20" t="s">
        <v>299</v>
      </c>
      <c r="E23" s="17" t="s">
        <v>300</v>
      </c>
      <c r="F23" s="6"/>
      <c r="G23" s="6"/>
      <c r="H23" s="6"/>
      <c r="I23" s="6"/>
      <c r="J23" s="6"/>
      <c r="K23" s="6"/>
      <c r="L23" s="6"/>
    </row>
    <row r="24" spans="1:12" ht="28.8" x14ac:dyDescent="0.3">
      <c r="A24" s="17">
        <v>4</v>
      </c>
      <c r="B24" s="20" t="s">
        <v>301</v>
      </c>
      <c r="C24" s="20" t="s">
        <v>302</v>
      </c>
      <c r="D24" s="20" t="s">
        <v>303</v>
      </c>
      <c r="E24" s="17" t="s">
        <v>304</v>
      </c>
      <c r="F24" s="6"/>
      <c r="G24" s="6"/>
      <c r="H24" s="6"/>
      <c r="I24" s="6"/>
      <c r="J24" s="6"/>
      <c r="K24" s="6"/>
      <c r="L24" s="6"/>
    </row>
    <row r="25" spans="1:12" ht="28.8" x14ac:dyDescent="0.3">
      <c r="A25" s="17">
        <v>5</v>
      </c>
      <c r="B25" s="20" t="s">
        <v>305</v>
      </c>
      <c r="C25" s="20" t="s">
        <v>306</v>
      </c>
      <c r="D25" s="20" t="s">
        <v>307</v>
      </c>
      <c r="E25" s="17" t="s">
        <v>308</v>
      </c>
      <c r="F25" s="6"/>
      <c r="G25" s="6"/>
      <c r="H25" s="6"/>
      <c r="I25" s="6"/>
      <c r="J25" s="6"/>
      <c r="K25" s="6"/>
      <c r="L25" s="6"/>
    </row>
    <row r="26" spans="1:12" ht="28.8" x14ac:dyDescent="0.3">
      <c r="A26" s="17">
        <v>6</v>
      </c>
      <c r="B26" s="20" t="s">
        <v>309</v>
      </c>
      <c r="C26" s="20" t="s">
        <v>310</v>
      </c>
      <c r="D26" s="20" t="s">
        <v>311</v>
      </c>
      <c r="E26" s="17" t="s">
        <v>312</v>
      </c>
      <c r="F26" s="6"/>
      <c r="G26" s="6"/>
      <c r="H26" s="6"/>
      <c r="I26" s="6"/>
      <c r="J26" s="6"/>
      <c r="K26" s="6"/>
      <c r="L26" s="6"/>
    </row>
  </sheetData>
  <mergeCells count="6">
    <mergeCell ref="A19:L19"/>
    <mergeCell ref="A1:L1"/>
    <mergeCell ref="A2:L2"/>
    <mergeCell ref="A4:L4"/>
    <mergeCell ref="A12:L12"/>
    <mergeCell ref="A13:L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CCEB97-4844-45BD-9784-C13AC140D6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vt:lpstr>
      <vt:lpstr>Category Pivots</vt:lpstr>
      <vt:lpstr>Price Hour Pivots</vt:lpstr>
      <vt:lpstr>Revenue Overview (2)</vt:lpstr>
      <vt:lpstr>Revenue Overview</vt:lpstr>
      <vt:lpstr>Bright Coffee Shop dataset</vt:lpstr>
      <vt:lpstr> Dashboard</vt:lpstr>
      <vt:lpstr>Product Insights</vt:lpstr>
      <vt:lpstr>Time Insights</vt:lpstr>
      <vt:lpstr>Recommendations</vt:lpstr>
      <vt:lpstr>Analysis</vt:lpstr>
      <vt:lpstr>Products Dashboard</vt:lpstr>
      <vt:lpstr>Daypart Dashboard</vt:lpstr>
      <vt:lpstr>Sales Trends Dashboard</vt:lpstr>
      <vt:lpstr>Action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Hitekani Tredah Masingi</dc:creator>
  <cp:lastModifiedBy>Hitekani Tredah Masingi</cp:lastModifiedBy>
  <dcterms:created xsi:type="dcterms:W3CDTF">2026-07-25T17:31:51Z</dcterms:created>
  <dcterms:modified xsi:type="dcterms:W3CDTF">2026-07-29T07:25:08Z</dcterms:modified>
</cp:coreProperties>
</file>